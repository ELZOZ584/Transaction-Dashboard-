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coures\data Analytics\Dashboard_3\"/>
    </mc:Choice>
  </mc:AlternateContent>
  <xr:revisionPtr revIDLastSave="0" documentId="13_ncr:1_{2CFE4861-0DA0-4C29-9A97-EE7DE6B27F34}" xr6:coauthVersionLast="47" xr6:coauthVersionMax="47" xr10:uidLastSave="{00000000-0000-0000-0000-000000000000}"/>
  <bookViews>
    <workbookView xWindow="-110" yWindow="-110" windowWidth="19420" windowHeight="10300" activeTab="1" xr2:uid="{041A809D-03E5-47A5-8CD6-785000D82CF0}"/>
  </bookViews>
  <sheets>
    <sheet name="Analysis 10" sheetId="2" r:id="rId1"/>
    <sheet name="Dashboard" sheetId="5" r:id="rId2"/>
  </sheets>
  <calcPr calcId="191029"/>
  <pivotCaches>
    <pivotCache cacheId="161" r:id="rId3"/>
    <pivotCache cacheId="164" r:id="rId4"/>
    <pivotCache cacheId="167" r:id="rId5"/>
    <pivotCache cacheId="170" r:id="rId6"/>
    <pivotCache cacheId="173" r:id="rId7"/>
    <pivotCache cacheId="176" r:id="rId8"/>
    <pivotCache cacheId="179" r:id="rId9"/>
    <pivotCache cacheId="182" r:id="rId10"/>
    <pivotCache cacheId="185" r:id="rId11"/>
    <pivotCache cacheId="188" r:id="rId12"/>
    <pivotCache cacheId="191" r:id="rId13"/>
    <pivotCache cacheId="194" r:id="rId14"/>
    <pivotCache cacheId="197" r:id="rId15"/>
    <pivotCache cacheId="225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table_ridership_eaa346df-a939-439f-b740-74c20198e9fa" name="Facttable_ridership" connection="Query - Facttable_ridership"/>
          <x15:modelTable id="Dim_routes_1cba56d1-2c0c-4e13-b420-0a6c4cf761be" name="Dim_routes" connection="Query - Dim_routes"/>
          <x15:modelTable id="Dim_demographics_adb1f054-ea79-40de-868a-27d1eabac751" name="Dim_demographics" connection="Query - Dim_demographics"/>
          <x15:modelTable id="Dim_buses_ff68e62f-cbd9-4a28-81f3-4a07f1b51c2b" name="Dim_buses" connection="Query - Dim_buses"/>
          <x15:modelTable id="Dim_Calender_c44004bf-1d67-4c40-a7d3-69945d86300b" name="Dim_Calender" connection="Query - Dim_Calender"/>
          <x15:modelTable id="calculations_2d65b236-3fee-469a-8e89-3129220725e7" name="calculations" connection="Query - calculations"/>
        </x15:modelTables>
        <x15:modelRelationships>
          <x15:modelRelationship fromTable="Facttable_ridership" fromColumn="BusID" toTable="Dim_buses" toColumn="BusID"/>
          <x15:modelRelationship fromTable="Facttable_ridership" fromColumn="RiderID" toTable="Dim_demographics" toColumn="RiderID"/>
          <x15:modelRelationship fromTable="Facttable_ridership" fromColumn="Date" toTable="Dim_Calender" toColumn="Date"/>
          <x15:modelRelationship fromTable="Dim_buses" fromColumn="RouteID" toTable="Dim_routes" toColumn="Route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_ridership" columnName="Time" columnId="Time">
                <x16:calculatedTimeColumn columnName="Time (Hour)" columnId="Time (Hour)" contentType="hours" isSelected="1"/>
                <x16:calculatedTimeColumn columnName="Time (Minute)" columnId="Time (Minute)" contentType="minutes" isSelected="1"/>
              </x16:modelTimeGrouping>
              <x16:modelTimeGrouping tableName="Facttable_ridership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" i="2" l="1"/>
  <c r="J81" i="2"/>
  <c r="J79" i="2"/>
  <c r="J86" i="2"/>
  <c r="J87" i="2"/>
  <c r="J85" i="2"/>
  <c r="I86" i="2"/>
  <c r="I87" i="2"/>
  <c r="I85" i="2"/>
  <c r="H84" i="2"/>
  <c r="H85" i="2"/>
  <c r="H86" i="2"/>
  <c r="H87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K46" i="2"/>
  <c r="J46" i="2"/>
  <c r="G40" i="2"/>
  <c r="L48" i="2" l="1"/>
  <c r="N48" i="2" s="1"/>
  <c r="L47" i="2"/>
  <c r="N47" i="2" s="1"/>
  <c r="L53" i="2"/>
  <c r="M53" i="2" s="1"/>
  <c r="L52" i="2"/>
  <c r="M52" i="2" s="1"/>
  <c r="L51" i="2"/>
  <c r="M51" i="2" s="1"/>
  <c r="L50" i="2"/>
  <c r="M50" i="2" s="1"/>
  <c r="L49" i="2"/>
  <c r="H40" i="2"/>
  <c r="G43" i="2"/>
  <c r="M48" i="2" l="1"/>
  <c r="N51" i="2"/>
  <c r="M49" i="2"/>
  <c r="N49" i="2"/>
  <c r="M47" i="2"/>
  <c r="J60" i="2" s="1"/>
  <c r="J56" i="2" s="1"/>
  <c r="N50" i="2"/>
  <c r="N52" i="2"/>
  <c r="N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8722C4-F7EA-4EF4-92B7-3D23A75952F1}" name="Query - calculations" description="Connection to the 'calculations' query in the workbook." type="100" refreshedVersion="8" minRefreshableVersion="5">
    <extLst>
      <ext xmlns:x15="http://schemas.microsoft.com/office/spreadsheetml/2010/11/main" uri="{DE250136-89BD-433C-8126-D09CA5730AF9}">
        <x15:connection id="da1f7a27-694a-4613-b697-f67cddd71cd2">
          <x15:oledbPr connection="Provider=Microsoft.Mashup.OleDb.1;Data Source=$Workbook$;Location=calculations;Extended Properties=&quot;&quot;">
            <x15:dbTables>
              <x15:dbTable name="calculations"/>
            </x15:dbTables>
          </x15:oledbPr>
        </x15:connection>
      </ext>
    </extLst>
  </connection>
  <connection id="2" xr16:uid="{4077CAC5-B24E-425D-88B3-5198B84A2D60}" name="Query - Dim_buses" description="Connection to the 'Dim_buses' query in the workbook." type="100" refreshedVersion="8" minRefreshableVersion="5">
    <extLst>
      <ext xmlns:x15="http://schemas.microsoft.com/office/spreadsheetml/2010/11/main" uri="{DE250136-89BD-433C-8126-D09CA5730AF9}">
        <x15:connection id="a66469e3-0530-42b0-9f72-ba90500d4f4f">
          <x15:oledbPr connection="Provider=Microsoft.Mashup.OleDb.1;Data Source=$Workbook$;Location=Dim_buses;Extended Properties=&quot;&quot;">
            <x15:dbTables>
              <x15:dbTable name="Dim_buses"/>
            </x15:dbTables>
          </x15:oledbPr>
        </x15:connection>
      </ext>
    </extLst>
  </connection>
  <connection id="3" xr16:uid="{BCF71ABB-0835-4483-872C-76D8411AC74C}" name="Query - Dim_Calender" description="Connection to the 'Dim_Calender' query in the workbook." type="100" refreshedVersion="8" minRefreshableVersion="5">
    <extLst>
      <ext xmlns:x15="http://schemas.microsoft.com/office/spreadsheetml/2010/11/main" uri="{DE250136-89BD-433C-8126-D09CA5730AF9}">
        <x15:connection id="0f8fdefe-0b8f-4e50-843a-b7b4d55994b5">
          <x15:oledbPr connection="Provider=Microsoft.Mashup.OleDb.1;Data Source=$Workbook$;Location=Dim_Calender;Extended Properties=&quot;&quot;">
            <x15:dbTables>
              <x15:dbTable name="Dim_Calender"/>
            </x15:dbTables>
          </x15:oledbPr>
        </x15:connection>
      </ext>
    </extLst>
  </connection>
  <connection id="4" xr16:uid="{89D0C0CD-EC4E-40D3-877B-8CB5E2A92E47}" name="Query - Dim_demographics" description="Connection to the 'Dim_demographics' query in the workbook." type="100" refreshedVersion="8" minRefreshableVersion="5">
    <extLst>
      <ext xmlns:x15="http://schemas.microsoft.com/office/spreadsheetml/2010/11/main" uri="{DE250136-89BD-433C-8126-D09CA5730AF9}">
        <x15:connection id="c6718273-fb64-4c5d-8192-a0ba4ec79be0">
          <x15:oledbPr connection="Provider=Microsoft.Mashup.OleDb.1;Data Source=$Workbook$;Location=Dim_demographics;Extended Properties=&quot;&quot;">
            <x15:dbTables>
              <x15:dbTable name="Dim_demographics"/>
            </x15:dbTables>
          </x15:oledbPr>
        </x15:connection>
      </ext>
    </extLst>
  </connection>
  <connection id="5" xr16:uid="{2F93ECD9-6AB1-45D7-B583-04C8BCED7FB7}" name="Query - Dim_routes" description="Connection to the 'Dim_routes' query in the workbook." type="100" refreshedVersion="8" minRefreshableVersion="5">
    <extLst>
      <ext xmlns:x15="http://schemas.microsoft.com/office/spreadsheetml/2010/11/main" uri="{DE250136-89BD-433C-8126-D09CA5730AF9}">
        <x15:connection id="199ceb66-8abe-4910-abc1-e3d4e932e68f">
          <x15:oledbPr connection="Provider=Microsoft.Mashup.OleDb.1;Data Source=$Workbook$;Location=Dim_routes;Extended Properties=&quot;&quot;">
            <x15:dbTables>
              <x15:dbTable name="Dim_routes"/>
            </x15:dbTables>
          </x15:oledbPr>
        </x15:connection>
      </ext>
    </extLst>
  </connection>
  <connection id="6" xr16:uid="{835234B3-FC30-44D1-97F3-39C9EE112CCC}" name="Query - Facttable_ridership" description="Connection to the 'Facttable_ridership' query in the workbook." type="100" refreshedVersion="8" minRefreshableVersion="5">
    <extLst>
      <ext xmlns:x15="http://schemas.microsoft.com/office/spreadsheetml/2010/11/main" uri="{DE250136-89BD-433C-8126-D09CA5730AF9}">
        <x15:connection id="0dca29cb-4305-4a90-85a0-12623ca8be44"/>
      </ext>
    </extLst>
  </connection>
  <connection id="7" xr16:uid="{707A57A9-CF55-4F73-A07B-2AC5C0B87F5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<sst xmlns="http://schemas.openxmlformats.org/spreadsheetml/2006/main" count="64" uniqueCount="45">
  <si>
    <t>Total Riders(Passenger)</t>
  </si>
  <si>
    <t>Avg Riders per Trip</t>
  </si>
  <si>
    <t>East-West Express</t>
  </si>
  <si>
    <t>South Line</t>
  </si>
  <si>
    <t>Busiest Route</t>
  </si>
  <si>
    <t>RouteName</t>
  </si>
  <si>
    <t>Least Busy Route</t>
  </si>
  <si>
    <t>Time</t>
  </si>
  <si>
    <t>Date (Year)</t>
  </si>
  <si>
    <t>2023</t>
  </si>
  <si>
    <t>2024</t>
  </si>
  <si>
    <t>Time Gategory</t>
  </si>
  <si>
    <t>10:00 AM to 3:00 PM</t>
  </si>
  <si>
    <t>12:00 AM to 5:00 AM</t>
  </si>
  <si>
    <t>5:00 AM to 10:00 AM</t>
  </si>
  <si>
    <t>peak hour</t>
  </si>
  <si>
    <t>Dec</t>
  </si>
  <si>
    <t>Jan</t>
  </si>
  <si>
    <t xml:space="preserve">YOY pct change </t>
  </si>
  <si>
    <t xml:space="preserve">indicate </t>
  </si>
  <si>
    <t>Caption :</t>
  </si>
  <si>
    <t>Total Riders(Passenger)2</t>
  </si>
  <si>
    <t>Row Labels</t>
  </si>
  <si>
    <t>Fri</t>
  </si>
  <si>
    <t>Mon</t>
  </si>
  <si>
    <t>Sat</t>
  </si>
  <si>
    <t>Sun</t>
  </si>
  <si>
    <t>Thu</t>
  </si>
  <si>
    <t>Tue</t>
  </si>
  <si>
    <t>Wed</t>
  </si>
  <si>
    <t>Day Name</t>
  </si>
  <si>
    <t>Average</t>
  </si>
  <si>
    <t>Above Average</t>
  </si>
  <si>
    <t xml:space="preserve">Below average </t>
  </si>
  <si>
    <t>capation:</t>
  </si>
  <si>
    <t xml:space="preserve">above average </t>
  </si>
  <si>
    <t>over_utilization</t>
  </si>
  <si>
    <t>under_utilization</t>
  </si>
  <si>
    <t>well_utilization</t>
  </si>
  <si>
    <t>Total Buses</t>
  </si>
  <si>
    <t>Bus Utilization Category</t>
  </si>
  <si>
    <t>pct</t>
  </si>
  <si>
    <t xml:space="preserve">pct left </t>
  </si>
  <si>
    <t>AM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</si>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</sst>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1" fontId="0" fillId="0" borderId="0" xfId="0" applyNumberFormat="1"/>
    <xf numFmtId="0" fontId="0" fillId="2" borderId="0" xfId="0" applyFill="1"/>
    <xf numFmtId="0" fontId="0" fillId="3" borderId="0" xfId="0" applyFill="1"/>
    <xf numFmtId="164" fontId="0" fillId="0" borderId="0" xfId="0" applyNumberFormat="1"/>
    <xf numFmtId="19" fontId="0" fillId="0" borderId="0" xfId="0" applyNumberFormat="1"/>
    <xf numFmtId="164" fontId="0" fillId="0" borderId="0" xfId="1" applyNumberFormat="1" applyFont="1"/>
    <xf numFmtId="19" fontId="0" fillId="3" borderId="0" xfId="0" applyNumberFormat="1" applyFill="1"/>
    <xf numFmtId="10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left"/>
    </xf>
    <xf numFmtId="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">
    <dxf>
      <numFmt numFmtId="14" formatCode="0.00%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7D1B1967-416F-423A-818F-4635AF6CAC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1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4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9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8" Type="http://schemas.openxmlformats.org/officeDocument/2006/relationships/customXml" Target="../customXml/item36.xml"/><Relationship Id="rId5" Type="http://schemas.openxmlformats.org/officeDocument/2006/relationships/pivotCacheDefinition" Target="pivotCache/pivotCacheDefinition3.xml"/><Relationship Id="rId61" Type="http://schemas.openxmlformats.org/officeDocument/2006/relationships/customXml" Target="../customXml/item39.xml"/><Relationship Id="rId19" Type="http://schemas.openxmlformats.org/officeDocument/2006/relationships/styles" Target="styles.xml"/><Relationship Id="rId14" Type="http://schemas.openxmlformats.org/officeDocument/2006/relationships/pivotCacheDefinition" Target="pivotCache/pivotCacheDefinition12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6.xml"/><Relationship Id="rId51" Type="http://schemas.openxmlformats.org/officeDocument/2006/relationships/customXml" Target="../customXml/item29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10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59" Type="http://schemas.openxmlformats.org/officeDocument/2006/relationships/customXml" Target="../customXml/item37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62" Type="http://schemas.openxmlformats.org/officeDocument/2006/relationships/customXml" Target="../customXml/item4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5" Type="http://schemas.openxmlformats.org/officeDocument/2006/relationships/pivotCacheDefinition" Target="pivotCache/pivotCacheDefinition13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57" Type="http://schemas.openxmlformats.org/officeDocument/2006/relationships/customXml" Target="../customXml/item35.xml"/><Relationship Id="rId10" Type="http://schemas.openxmlformats.org/officeDocument/2006/relationships/pivotCacheDefinition" Target="pivotCache/pivotCacheDefinition8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Relationship Id="rId60" Type="http://schemas.openxmlformats.org/officeDocument/2006/relationships/customXml" Target="../customXml/item3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[dashboard_3.xlsx]Analysis 10!PivotTable8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777777777777776E-2"/>
          <c:y val="5.0925925925925923E-2"/>
          <c:w val="0.93888888888888888"/>
          <c:h val="0.84500801983085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10'!$G$46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10'!$F$47:$F$48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'Analysis 10'!$G$47:$G$48</c:f>
              <c:numCache>
                <c:formatCode>0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F-46F3-B9DC-FBFF182211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7605087"/>
        <c:axId val="1167606527"/>
      </c:barChart>
      <c:catAx>
        <c:axId val="1167605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167606527"/>
        <c:crosses val="autoZero"/>
        <c:auto val="1"/>
        <c:lblAlgn val="ctr"/>
        <c:lblOffset val="100"/>
        <c:noMultiLvlLbl val="0"/>
      </c:catAx>
      <c:valAx>
        <c:axId val="1167606527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116760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[dashboard_3.xlsx]Analysis 10!PivotTable11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10'!$K$36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10'!$J$37:$J$43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10'!$K$37:$K$43</c:f>
              <c:numCache>
                <c:formatCode>0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F4-4C17-96EB-73382B7373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67646367"/>
        <c:axId val="1167646847"/>
      </c:lineChart>
      <c:catAx>
        <c:axId val="116764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167646847"/>
        <c:crosses val="autoZero"/>
        <c:auto val="1"/>
        <c:lblAlgn val="ctr"/>
        <c:lblOffset val="100"/>
        <c:noMultiLvlLbl val="0"/>
      </c:catAx>
      <c:valAx>
        <c:axId val="1167646847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16764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[dashboard_3.xlsx]Analysis 10!PivotTable1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607646843655544"/>
          <c:y val="8.1632822213012865E-2"/>
          <c:w val="0.76392365628209513"/>
          <c:h val="0.801059663460434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'Analysis 10'!$G$16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10'!$F$17:$F$19</c:f>
              <c:strCache>
                <c:ptCount val="3"/>
                <c:pt idx="0">
                  <c:v>12:00 AM to 5:00 AM</c:v>
                </c:pt>
                <c:pt idx="1">
                  <c:v>10:00 AM to 3:00 PM</c:v>
                </c:pt>
                <c:pt idx="2">
                  <c:v>5:00 AM to 10:00 AM</c:v>
                </c:pt>
              </c:strCache>
            </c:strRef>
          </c:cat>
          <c:val>
            <c:numRef>
              <c:f>'Analysis 10'!$G$17:$G$19</c:f>
              <c:numCache>
                <c:formatCode>_(* #,##0_);_(* \(#,##0\);_(* "-"??_);_(@_)</c:formatCode>
                <c:ptCount val="3"/>
                <c:pt idx="0">
                  <c:v>1447</c:v>
                </c:pt>
                <c:pt idx="1">
                  <c:v>2119</c:v>
                </c:pt>
                <c:pt idx="2">
                  <c:v>3021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4-4020-9905-E48071E824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773666704"/>
        <c:axId val="1773660944"/>
      </c:barChart>
      <c:catAx>
        <c:axId val="17736667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73660944"/>
        <c:crosses val="autoZero"/>
        <c:auto val="1"/>
        <c:lblAlgn val="ctr"/>
        <c:lblOffset val="100"/>
        <c:noMultiLvlLbl val="0"/>
      </c:catAx>
      <c:valAx>
        <c:axId val="1773660944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77366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[dashboard_3.xlsx]Analysis 10!PivotTable4</c:name>
    <c:fmtId val="1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111286089238853E-2"/>
          <c:y val="9.5660255582806261E-2"/>
          <c:w val="0.885555380577428"/>
          <c:h val="0.70239146336216174"/>
        </c:manualLayout>
      </c:layout>
      <c:lineChart>
        <c:grouping val="standard"/>
        <c:varyColors val="0"/>
        <c:ser>
          <c:idx val="0"/>
          <c:order val="0"/>
          <c:tx>
            <c:strRef>
              <c:f>'Analysis 10'!$I$16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10'!$H$17:$H$18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'Analysis 10'!$I$17:$I$18</c:f>
              <c:numCache>
                <c:formatCode>_(* #,##0_);_(* \(#,##0\);_(* "-"??_);_(@_)</c:formatCode>
                <c:ptCount val="2"/>
                <c:pt idx="0">
                  <c:v>5654</c:v>
                </c:pt>
                <c:pt idx="1">
                  <c:v>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B-4A74-9106-9205E56630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33045744"/>
        <c:axId val="1633032784"/>
      </c:lineChart>
      <c:catAx>
        <c:axId val="163304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633032784"/>
        <c:crosses val="autoZero"/>
        <c:auto val="1"/>
        <c:lblAlgn val="ctr"/>
        <c:lblOffset val="100"/>
        <c:noMultiLvlLbl val="0"/>
      </c:catAx>
      <c:valAx>
        <c:axId val="1633032784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63304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"/>
          <c:y val="0.17951068616422947"/>
          <c:w val="0.92666666666666664"/>
          <c:h val="0.65871906636670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10'!$K$46</c:f>
              <c:strCache>
                <c:ptCount val="1"/>
                <c:pt idx="0">
                  <c:v>Total Riders(Passenger)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AE-4C33-95FC-403939036E6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6AE-4C33-95FC-403939036E6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AE-4C33-95FC-403939036E6C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6AE-4C33-95FC-403939036E6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10'!$J$47:$J$53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'Analysis 10'!$K$47:$K$53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887</c:v>
                </c:pt>
                <c:pt idx="4">
                  <c:v>889</c:v>
                </c:pt>
                <c:pt idx="5">
                  <c:v>762</c:v>
                </c:pt>
                <c:pt idx="6">
                  <c:v>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E-4C33-95FC-403939036E6C}"/>
            </c:ext>
          </c:extLst>
        </c:ser>
        <c:ser>
          <c:idx val="2"/>
          <c:order val="2"/>
          <c:tx>
            <c:strRef>
              <c:f>'Analysis 10'!$M$46</c:f>
              <c:strCache>
                <c:ptCount val="1"/>
                <c:pt idx="0">
                  <c:v>Above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'Analysis 10'!$M$47:$M$53</c:f>
              <c:numCache>
                <c:formatCode>General</c:formatCode>
                <c:ptCount val="7"/>
                <c:pt idx="0">
                  <c:v>1185</c:v>
                </c:pt>
                <c:pt idx="1">
                  <c:v>1085</c:v>
                </c:pt>
                <c:pt idx="2">
                  <c:v>983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E-4C33-95FC-403939036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overlap val="100"/>
        <c:axId val="1167715967"/>
        <c:axId val="1167716927"/>
      </c:barChart>
      <c:lineChart>
        <c:grouping val="standard"/>
        <c:varyColors val="0"/>
        <c:ser>
          <c:idx val="1"/>
          <c:order val="1"/>
          <c:tx>
            <c:strRef>
              <c:f>'Analysis 10'!$L$46</c:f>
              <c:strCache>
                <c:ptCount val="1"/>
                <c:pt idx="0">
                  <c:v>Average</c:v>
                </c:pt>
              </c:strCache>
            </c:strRef>
          </c:tx>
          <c:spPr>
            <a:ln w="15875" cap="rnd">
              <a:solidFill>
                <a:schemeClr val="bg1">
                  <a:lumMod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val>
            <c:numRef>
              <c:f>'Analysis 10'!$L$47:$L$53</c:f>
              <c:numCache>
                <c:formatCode>General</c:formatCode>
                <c:ptCount val="7"/>
                <c:pt idx="0">
                  <c:v>941</c:v>
                </c:pt>
                <c:pt idx="1">
                  <c:v>941</c:v>
                </c:pt>
                <c:pt idx="2">
                  <c:v>941</c:v>
                </c:pt>
                <c:pt idx="3">
                  <c:v>941</c:v>
                </c:pt>
                <c:pt idx="4">
                  <c:v>941</c:v>
                </c:pt>
                <c:pt idx="5">
                  <c:v>941</c:v>
                </c:pt>
                <c:pt idx="6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AE-4C33-95FC-403939036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7715967"/>
        <c:axId val="1167716927"/>
      </c:lineChart>
      <c:catAx>
        <c:axId val="116771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167716927"/>
        <c:crosses val="autoZero"/>
        <c:auto val="1"/>
        <c:lblAlgn val="ctr"/>
        <c:lblOffset val="100"/>
        <c:noMultiLvlLbl val="0"/>
      </c:catAx>
      <c:valAx>
        <c:axId val="11677169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7715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[dashboard_3.xlsx]Analysis 10!PivotTable12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'Analysis 10'!$L$67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10'!$K$68:$K$69</c:f>
              <c:strCache>
                <c:ptCount val="2"/>
                <c:pt idx="0">
                  <c:v>Jan</c:v>
                </c:pt>
                <c:pt idx="1">
                  <c:v>Dec</c:v>
                </c:pt>
              </c:strCache>
            </c:strRef>
          </c:cat>
          <c:val>
            <c:numRef>
              <c:f>'Analysis 10'!$L$68:$L$69</c:f>
              <c:numCache>
                <c:formatCode>0</c:formatCode>
                <c:ptCount val="2"/>
                <c:pt idx="0">
                  <c:v>933</c:v>
                </c:pt>
                <c:pt idx="1">
                  <c:v>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6-4E27-90DC-26C3D752782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46592512"/>
        <c:axId val="1746591552"/>
      </c:lineChart>
      <c:catAx>
        <c:axId val="174659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46591552"/>
        <c:crosses val="autoZero"/>
        <c:auto val="1"/>
        <c:lblAlgn val="ctr"/>
        <c:lblOffset val="100"/>
        <c:noMultiLvlLbl val="0"/>
      </c:catAx>
      <c:valAx>
        <c:axId val="1746591552"/>
        <c:scaling>
          <c:orientation val="minMax"/>
        </c:scaling>
        <c:delete val="0"/>
        <c:axPos val="l"/>
        <c:numFmt formatCode="#,##0_);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74659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10'!$H$86</c:f>
              <c:strCache>
                <c:ptCount val="1"/>
                <c:pt idx="0">
                  <c:v>under_utilization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578-4DE9-82C9-FE1412B93053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578-4DE9-82C9-FE1412B93053}"/>
              </c:ext>
            </c:extLst>
          </c:dPt>
          <c:val>
            <c:numRef>
              <c:f>'Analysis 10'!$I$86:$J$86</c:f>
              <c:numCache>
                <c:formatCode>0.00%</c:formatCode>
                <c:ptCount val="2"/>
                <c:pt idx="0">
                  <c:v>0.23170731707317074</c:v>
                </c:pt>
                <c:pt idx="1">
                  <c:v>0.76829268292682928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78-4DE9-82C9-FE1412B93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'Analysis 10'!$H$85</c:f>
              <c:strCache>
                <c:ptCount val="1"/>
                <c:pt idx="0">
                  <c:v>over_utilization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4C-40F4-A8CC-69E28796E220}"/>
              </c:ext>
            </c:extLst>
          </c:dPt>
          <c:dPt>
            <c:idx val="1"/>
            <c:bubble3D val="0"/>
            <c:explosion val="3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4C-40F4-A8CC-69E28796E220}"/>
              </c:ext>
            </c:extLst>
          </c:dPt>
          <c:val>
            <c:numRef>
              <c:f>'Analysis 10'!$I$85:$J$85</c:f>
              <c:numCache>
                <c:formatCode>0.00%</c:formatCode>
                <c:ptCount val="2"/>
                <c:pt idx="0">
                  <c:v>0.32926829268292684</c:v>
                </c:pt>
                <c:pt idx="1">
                  <c:v>0.6707317073170731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4C-40F4-A8CC-69E28796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97560975609757"/>
          <c:y val="0.10928961748633879"/>
          <c:w val="0.67804878048780493"/>
          <c:h val="0.7595628415300546"/>
        </c:manualLayout>
      </c:layout>
      <c:doughnutChart>
        <c:varyColors val="1"/>
        <c:ser>
          <c:idx val="0"/>
          <c:order val="0"/>
          <c:tx>
            <c:strRef>
              <c:f>'Analysis 10'!$H$87</c:f>
              <c:strCache>
                <c:ptCount val="1"/>
                <c:pt idx="0">
                  <c:v>well_utilization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4F-4C70-9513-FEFBC5E5C3C7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4F-4C70-9513-FEFBC5E5C3C7}"/>
              </c:ext>
            </c:extLst>
          </c:dPt>
          <c:val>
            <c:numRef>
              <c:f>'Analysis 10'!$I$87:$J$87</c:f>
              <c:numCache>
                <c:formatCode>0.00%</c:formatCode>
                <c:ptCount val="2"/>
                <c:pt idx="0">
                  <c:v>0.43902439024390244</c:v>
                </c:pt>
                <c:pt idx="1">
                  <c:v>0.56097560975609762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4F-4C70-9513-FEFBC5E5C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openxmlformats.org/officeDocument/2006/relationships/image" Target="../media/image2.png"/><Relationship Id="rId7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6" Type="http://schemas.openxmlformats.org/officeDocument/2006/relationships/image" Target="../media/image4.svg"/><Relationship Id="rId11" Type="http://schemas.openxmlformats.org/officeDocument/2006/relationships/chart" Target="../charts/chart9.xml"/><Relationship Id="rId5" Type="http://schemas.openxmlformats.org/officeDocument/2006/relationships/image" Target="../media/image3.png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49</xdr:row>
      <xdr:rowOff>127000</xdr:rowOff>
    </xdr:from>
    <xdr:to>
      <xdr:col>8</xdr:col>
      <xdr:colOff>428625</xdr:colOff>
      <xdr:row>65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440ED7-E8C0-7436-5ACE-A18B48FD9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241300</xdr:colOff>
      <xdr:row>34</xdr:row>
      <xdr:rowOff>161925</xdr:rowOff>
    </xdr:from>
    <xdr:to>
      <xdr:col>14</xdr:col>
      <xdr:colOff>777874</xdr:colOff>
      <xdr:row>42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ADE9D0-D6B2-93F1-A0A8-CA4BC9736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584200</xdr:colOff>
      <xdr:row>7</xdr:row>
      <xdr:rowOff>76200</xdr:rowOff>
    </xdr:from>
    <xdr:to>
      <xdr:col>17</xdr:col>
      <xdr:colOff>73660</xdr:colOff>
      <xdr:row>22</xdr:row>
      <xdr:rowOff>152400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72E27434-14AA-4AC0-8CE0-A2EE1BEDEC40}"/>
            </a:ext>
          </a:extLst>
        </xdr:cNvPr>
        <xdr:cNvGrpSpPr/>
      </xdr:nvGrpSpPr>
      <xdr:grpSpPr>
        <a:xfrm>
          <a:off x="6711950" y="1320800"/>
          <a:ext cx="4772660" cy="2743200"/>
          <a:chOff x="838200" y="1365250"/>
          <a:chExt cx="4702810" cy="2743200"/>
        </a:xfrm>
      </xdr:grpSpPr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6D1C12BA-8C8B-2D17-6A0F-AD4E88E5440A}"/>
              </a:ext>
            </a:extLst>
          </xdr:cNvPr>
          <xdr:cNvSpPr/>
        </xdr:nvSpPr>
        <xdr:spPr>
          <a:xfrm>
            <a:off x="876300" y="1365250"/>
            <a:ext cx="4664710" cy="2743200"/>
          </a:xfrm>
          <a:prstGeom prst="round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  <xdr:sp macro="" textlink="">
        <xdr:nvSpPr>
          <xdr:cNvPr id="47" name="Rectangle: Rounded Corners 46">
            <a:extLst>
              <a:ext uri="{FF2B5EF4-FFF2-40B4-BE49-F238E27FC236}">
                <a16:creationId xmlns:a16="http://schemas.microsoft.com/office/drawing/2014/main" id="{6182E401-19F1-BE76-1723-2C17D4D395BE}"/>
              </a:ext>
            </a:extLst>
          </xdr:cNvPr>
          <xdr:cNvSpPr/>
        </xdr:nvSpPr>
        <xdr:spPr>
          <a:xfrm>
            <a:off x="838200" y="1365250"/>
            <a:ext cx="4664710" cy="2743200"/>
          </a:xfrm>
          <a:prstGeom prst="round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4</xdr:col>
      <xdr:colOff>342900</xdr:colOff>
      <xdr:row>0</xdr:row>
      <xdr:rowOff>0</xdr:rowOff>
    </xdr:from>
    <xdr:to>
      <xdr:col>12</xdr:col>
      <xdr:colOff>152400</xdr:colOff>
      <xdr:row>32</xdr:row>
      <xdr:rowOff>165100</xdr:rowOff>
    </xdr:to>
    <xdr:sp macro="" textlink="">
      <xdr:nvSpPr>
        <xdr:cNvPr id="3" name="Flowchart: Off-page Connector 2">
          <a:extLst>
            <a:ext uri="{FF2B5EF4-FFF2-40B4-BE49-F238E27FC236}">
              <a16:creationId xmlns:a16="http://schemas.microsoft.com/office/drawing/2014/main" id="{1B75C107-B2DA-450B-9E86-0003A611ADDE}"/>
            </a:ext>
          </a:extLst>
        </xdr:cNvPr>
        <xdr:cNvSpPr/>
      </xdr:nvSpPr>
      <xdr:spPr>
        <a:xfrm rot="5400000">
          <a:off x="2603500" y="381000"/>
          <a:ext cx="5854700" cy="5092700"/>
        </a:xfrm>
        <a:prstGeom prst="flowChartOffpageConnector">
          <a:avLst/>
        </a:prstGeom>
        <a:gradFill flip="none" rotWithShape="1">
          <a:gsLst>
            <a:gs pos="0">
              <a:schemeClr val="tx1">
                <a:lumMod val="95000"/>
                <a:lumOff val="5000"/>
              </a:schemeClr>
            </a:gs>
            <a:gs pos="36000">
              <a:schemeClr val="tx1">
                <a:lumMod val="95000"/>
                <a:lumOff val="5000"/>
              </a:schemeClr>
            </a:gs>
            <a:gs pos="95000">
              <a:schemeClr val="tx1">
                <a:lumMod val="95000"/>
                <a:lumOff val="5000"/>
              </a:schemeClr>
            </a:gs>
            <a:gs pos="67000">
              <a:schemeClr val="tx1">
                <a:lumMod val="75000"/>
                <a:lumOff val="2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6</xdr:col>
      <xdr:colOff>317500</xdr:colOff>
      <xdr:row>0</xdr:row>
      <xdr:rowOff>6350</xdr:rowOff>
    </xdr:from>
    <xdr:to>
      <xdr:col>14</xdr:col>
      <xdr:colOff>127000</xdr:colOff>
      <xdr:row>32</xdr:row>
      <xdr:rowOff>165100</xdr:rowOff>
    </xdr:to>
    <xdr:sp macro="" textlink="">
      <xdr:nvSpPr>
        <xdr:cNvPr id="4" name="Flowchart: Off-page Connector 3">
          <a:extLst>
            <a:ext uri="{FF2B5EF4-FFF2-40B4-BE49-F238E27FC236}">
              <a16:creationId xmlns:a16="http://schemas.microsoft.com/office/drawing/2014/main" id="{7690ECB4-68C0-424F-9A91-B377EC3E5C43}"/>
            </a:ext>
          </a:extLst>
        </xdr:cNvPr>
        <xdr:cNvSpPr/>
      </xdr:nvSpPr>
      <xdr:spPr>
        <a:xfrm rot="5400000">
          <a:off x="3902075" y="384175"/>
          <a:ext cx="5848350" cy="5092700"/>
        </a:xfrm>
        <a:prstGeom prst="flowChartOffpageConnector">
          <a:avLst/>
        </a:prstGeom>
        <a:gradFill flip="none" rotWithShape="1">
          <a:gsLst>
            <a:gs pos="6000">
              <a:schemeClr val="tx1">
                <a:lumMod val="95000"/>
                <a:lumOff val="5000"/>
              </a:schemeClr>
            </a:gs>
            <a:gs pos="36000">
              <a:schemeClr val="tx1">
                <a:lumMod val="95000"/>
                <a:lumOff val="5000"/>
              </a:schemeClr>
            </a:gs>
            <a:gs pos="95000">
              <a:schemeClr val="tx1">
                <a:lumMod val="95000"/>
                <a:lumOff val="5000"/>
              </a:schemeClr>
            </a:gs>
            <a:gs pos="67000">
              <a:schemeClr val="tx1">
                <a:lumMod val="75000"/>
                <a:lumOff val="2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209550</xdr:colOff>
      <xdr:row>0</xdr:row>
      <xdr:rowOff>0</xdr:rowOff>
    </xdr:from>
    <xdr:to>
      <xdr:col>16</xdr:col>
      <xdr:colOff>19050</xdr:colOff>
      <xdr:row>32</xdr:row>
      <xdr:rowOff>158750</xdr:rowOff>
    </xdr:to>
    <xdr:sp macro="" textlink="">
      <xdr:nvSpPr>
        <xdr:cNvPr id="5" name="Flowchart: Off-page Connector 4">
          <a:extLst>
            <a:ext uri="{FF2B5EF4-FFF2-40B4-BE49-F238E27FC236}">
              <a16:creationId xmlns:a16="http://schemas.microsoft.com/office/drawing/2014/main" id="{076C1BD5-E826-428D-B0F5-6FEE820B2771}"/>
            </a:ext>
          </a:extLst>
        </xdr:cNvPr>
        <xdr:cNvSpPr/>
      </xdr:nvSpPr>
      <xdr:spPr>
        <a:xfrm rot="5400000">
          <a:off x="5114925" y="377825"/>
          <a:ext cx="5848350" cy="5092700"/>
        </a:xfrm>
        <a:prstGeom prst="flowChartOffpageConnector">
          <a:avLst/>
        </a:prstGeom>
        <a:gradFill flip="none" rotWithShape="1">
          <a:gsLst>
            <a:gs pos="6000">
              <a:schemeClr val="tx1">
                <a:lumMod val="95000"/>
                <a:lumOff val="5000"/>
              </a:schemeClr>
            </a:gs>
            <a:gs pos="36000">
              <a:schemeClr val="tx1">
                <a:lumMod val="95000"/>
                <a:lumOff val="5000"/>
              </a:schemeClr>
            </a:gs>
            <a:gs pos="95000">
              <a:schemeClr val="tx1">
                <a:lumMod val="95000"/>
                <a:lumOff val="5000"/>
              </a:schemeClr>
            </a:gs>
            <a:gs pos="67000">
              <a:schemeClr val="tx1">
                <a:lumMod val="75000"/>
                <a:lumOff val="2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406400</xdr:colOff>
      <xdr:row>0</xdr:row>
      <xdr:rowOff>31750</xdr:rowOff>
    </xdr:from>
    <xdr:to>
      <xdr:col>18</xdr:col>
      <xdr:colOff>215900</xdr:colOff>
      <xdr:row>33</xdr:row>
      <xdr:rowOff>0</xdr:rowOff>
    </xdr:to>
    <xdr:sp macro="" textlink="">
      <xdr:nvSpPr>
        <xdr:cNvPr id="2" name="Flowchart: Off-page Connector 1">
          <a:extLst>
            <a:ext uri="{FF2B5EF4-FFF2-40B4-BE49-F238E27FC236}">
              <a16:creationId xmlns:a16="http://schemas.microsoft.com/office/drawing/2014/main" id="{D47EBABB-A152-F7C0-9765-425BEB243F92}"/>
            </a:ext>
          </a:extLst>
        </xdr:cNvPr>
        <xdr:cNvSpPr/>
      </xdr:nvSpPr>
      <xdr:spPr>
        <a:xfrm rot="5400000">
          <a:off x="6823075" y="403225"/>
          <a:ext cx="5835650" cy="5092700"/>
        </a:xfrm>
        <a:prstGeom prst="flowChartOffpageConnector">
          <a:avLst/>
        </a:prstGeom>
        <a:gradFill flip="none" rotWithShape="1">
          <a:gsLst>
            <a:gs pos="6000">
              <a:schemeClr val="tx1">
                <a:lumMod val="95000"/>
                <a:lumOff val="5000"/>
              </a:schemeClr>
            </a:gs>
            <a:gs pos="36000">
              <a:schemeClr val="tx1">
                <a:lumMod val="95000"/>
                <a:lumOff val="5000"/>
              </a:schemeClr>
            </a:gs>
            <a:gs pos="95000">
              <a:schemeClr val="tx1">
                <a:lumMod val="95000"/>
                <a:lumOff val="5000"/>
              </a:schemeClr>
            </a:gs>
            <a:gs pos="67000">
              <a:schemeClr val="tx1">
                <a:lumMod val="75000"/>
                <a:lumOff val="25000"/>
              </a:schemeClr>
            </a:gs>
          </a:gsLst>
          <a:lin ang="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</xdr:col>
      <xdr:colOff>209550</xdr:colOff>
      <xdr:row>2</xdr:row>
      <xdr:rowOff>50800</xdr:rowOff>
    </xdr:from>
    <xdr:to>
      <xdr:col>12</xdr:col>
      <xdr:colOff>355600</xdr:colOff>
      <xdr:row>6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6802348-E30E-3870-8F0A-D94037A41804}"/>
            </a:ext>
          </a:extLst>
        </xdr:cNvPr>
        <xdr:cNvSpPr/>
      </xdr:nvSpPr>
      <xdr:spPr>
        <a:xfrm>
          <a:off x="869950" y="406400"/>
          <a:ext cx="7594600" cy="812800"/>
        </a:xfrm>
        <a:prstGeom prst="round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solidFill>
                <a:sysClr val="windowText" lastClr="000000"/>
              </a:solidFill>
            </a:ln>
          </a:endParaRPr>
        </a:p>
      </xdr:txBody>
    </xdr:sp>
    <xdr:clientData/>
  </xdr:twoCellAnchor>
  <xdr:twoCellAnchor>
    <xdr:from>
      <xdr:col>0</xdr:col>
      <xdr:colOff>120650</xdr:colOff>
      <xdr:row>0</xdr:row>
      <xdr:rowOff>76200</xdr:rowOff>
    </xdr:from>
    <xdr:to>
      <xdr:col>1</xdr:col>
      <xdr:colOff>38100</xdr:colOff>
      <xdr:row>33</xdr:row>
      <xdr:rowOff>19050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379F1A5-87F0-7A71-1644-042EDA783F27}"/>
            </a:ext>
          </a:extLst>
        </xdr:cNvPr>
        <xdr:cNvGrpSpPr/>
      </xdr:nvGrpSpPr>
      <xdr:grpSpPr>
        <a:xfrm>
          <a:off x="120650" y="76200"/>
          <a:ext cx="577850" cy="5810250"/>
          <a:chOff x="133350" y="101600"/>
          <a:chExt cx="577850" cy="5327652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BBA54411-9141-4141-9CC9-6BF999012B5C}"/>
              </a:ext>
            </a:extLst>
          </xdr:cNvPr>
          <xdr:cNvSpPr/>
        </xdr:nvSpPr>
        <xdr:spPr>
          <a:xfrm rot="16200000">
            <a:off x="-2216150" y="2501900"/>
            <a:ext cx="5321300" cy="533400"/>
          </a:xfrm>
          <a:prstGeom prst="roundRect">
            <a:avLst/>
          </a:prstGeom>
          <a:solidFill>
            <a:schemeClr val="tx1">
              <a:lumMod val="50000"/>
              <a:lumOff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F1F11C33-3DC9-44C0-8B6A-27CA32E2AAB3}"/>
              </a:ext>
            </a:extLst>
          </xdr:cNvPr>
          <xdr:cNvSpPr/>
        </xdr:nvSpPr>
        <xdr:spPr>
          <a:xfrm rot="16200000">
            <a:off x="-2263776" y="2498726"/>
            <a:ext cx="5327652" cy="533400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279400</xdr:colOff>
      <xdr:row>2</xdr:row>
      <xdr:rowOff>38100</xdr:rowOff>
    </xdr:from>
    <xdr:to>
      <xdr:col>4</xdr:col>
      <xdr:colOff>120650</xdr:colOff>
      <xdr:row>4</xdr:row>
      <xdr:rowOff>38100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D42208F-F6D6-7FA9-03ED-06F812A9411A}"/>
            </a:ext>
          </a:extLst>
        </xdr:cNvPr>
        <xdr:cNvSpPr txBox="1"/>
      </xdr:nvSpPr>
      <xdr:spPr>
        <a:xfrm>
          <a:off x="939800" y="393700"/>
          <a:ext cx="18224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</a:rPr>
            <a:t>Total </a:t>
          </a:r>
          <a:r>
            <a:rPr lang="en-US" sz="1600" b="1">
              <a:solidFill>
                <a:schemeClr val="bg1">
                  <a:lumMod val="75000"/>
                </a:schemeClr>
              </a:solidFill>
            </a:rPr>
            <a:t>Passengers</a:t>
          </a:r>
          <a:r>
            <a:rPr lang="en-US" sz="1600" b="1" baseline="0">
              <a:solidFill>
                <a:schemeClr val="bg1">
                  <a:lumMod val="85000"/>
                </a:schemeClr>
              </a:solidFill>
            </a:rPr>
            <a:t> </a:t>
          </a:r>
          <a:endParaRPr lang="ar-EG" sz="16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4</xdr:col>
      <xdr:colOff>281517</xdr:colOff>
      <xdr:row>2</xdr:row>
      <xdr:rowOff>38100</xdr:rowOff>
    </xdr:from>
    <xdr:to>
      <xdr:col>7</xdr:col>
      <xdr:colOff>122767</xdr:colOff>
      <xdr:row>4</xdr:row>
      <xdr:rowOff>38100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ACD4472-4287-451F-88DE-90824A03BA5A}"/>
            </a:ext>
          </a:extLst>
        </xdr:cNvPr>
        <xdr:cNvSpPr txBox="1"/>
      </xdr:nvSpPr>
      <xdr:spPr>
        <a:xfrm>
          <a:off x="2923117" y="393700"/>
          <a:ext cx="18224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</a:rPr>
            <a:t>Avg. Riders per Trip</a:t>
          </a:r>
          <a:endParaRPr lang="ar-EG" sz="16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7</xdr:col>
      <xdr:colOff>283634</xdr:colOff>
      <xdr:row>2</xdr:row>
      <xdr:rowOff>38100</xdr:rowOff>
    </xdr:from>
    <xdr:to>
      <xdr:col>10</xdr:col>
      <xdr:colOff>124884</xdr:colOff>
      <xdr:row>4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BE2BD9-774A-455B-8DC8-8001B1F50F4F}"/>
            </a:ext>
          </a:extLst>
        </xdr:cNvPr>
        <xdr:cNvSpPr txBox="1"/>
      </xdr:nvSpPr>
      <xdr:spPr>
        <a:xfrm>
          <a:off x="4906434" y="393700"/>
          <a:ext cx="18224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</a:rPr>
            <a:t>Busiest </a:t>
          </a:r>
          <a:r>
            <a:rPr lang="en-US" sz="1600" b="1">
              <a:solidFill>
                <a:schemeClr val="bg1">
                  <a:lumMod val="75000"/>
                </a:schemeClr>
              </a:solidFill>
            </a:rPr>
            <a:t>Route</a:t>
          </a:r>
          <a:endParaRPr lang="ar-EG" sz="16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641350</xdr:colOff>
      <xdr:row>2</xdr:row>
      <xdr:rowOff>50800</xdr:rowOff>
    </xdr:from>
    <xdr:to>
      <xdr:col>12</xdr:col>
      <xdr:colOff>482600</xdr:colOff>
      <xdr:row>4</xdr:row>
      <xdr:rowOff>50800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973F44C-6172-4455-A251-3A4C44D95EED}"/>
            </a:ext>
          </a:extLst>
        </xdr:cNvPr>
        <xdr:cNvSpPr txBox="1"/>
      </xdr:nvSpPr>
      <xdr:spPr>
        <a:xfrm>
          <a:off x="6769100" y="406400"/>
          <a:ext cx="18224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</a:rPr>
            <a:t>Least Busy </a:t>
          </a:r>
          <a:r>
            <a:rPr lang="en-US" sz="1600" b="1">
              <a:solidFill>
                <a:schemeClr val="bg1">
                  <a:lumMod val="75000"/>
                </a:schemeClr>
              </a:solidFill>
            </a:rPr>
            <a:t>Route</a:t>
          </a:r>
          <a:endParaRPr lang="ar-EG" sz="16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520700</xdr:colOff>
      <xdr:row>4</xdr:row>
      <xdr:rowOff>95250</xdr:rowOff>
    </xdr:from>
    <xdr:to>
      <xdr:col>3</xdr:col>
      <xdr:colOff>260350</xdr:colOff>
      <xdr:row>6</xdr:row>
      <xdr:rowOff>63500</xdr:rowOff>
    </xdr:to>
    <xdr:sp macro="" textlink="'Analysis 10'!$B$8">
      <xdr:nvSpPr>
        <xdr:cNvPr id="14" name="TextBox 13">
          <a:extLst>
            <a:ext uri="{FF2B5EF4-FFF2-40B4-BE49-F238E27FC236}">
              <a16:creationId xmlns:a16="http://schemas.microsoft.com/office/drawing/2014/main" id="{56D167C2-D934-49F9-B602-24FEF224CD33}"/>
            </a:ext>
          </a:extLst>
        </xdr:cNvPr>
        <xdr:cNvSpPr txBox="1"/>
      </xdr:nvSpPr>
      <xdr:spPr>
        <a:xfrm>
          <a:off x="1181100" y="806450"/>
          <a:ext cx="10604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1267170C-8D0A-47C9-A802-0DE12F8EDE97}" type="TxLink">
            <a:rPr lang="en-US" sz="18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pPr/>
            <a:t> 6,587 </a:t>
          </a:fld>
          <a:endParaRPr lang="ar-EG" sz="28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224367</xdr:colOff>
      <xdr:row>4</xdr:row>
      <xdr:rowOff>88900</xdr:rowOff>
    </xdr:from>
    <xdr:to>
      <xdr:col>6</xdr:col>
      <xdr:colOff>95250</xdr:colOff>
      <xdr:row>6</xdr:row>
      <xdr:rowOff>88900</xdr:rowOff>
    </xdr:to>
    <xdr:sp macro="" textlink="'Analysis 10'!$C$8">
      <xdr:nvSpPr>
        <xdr:cNvPr id="15" name="TextBox 14">
          <a:extLst>
            <a:ext uri="{FF2B5EF4-FFF2-40B4-BE49-F238E27FC236}">
              <a16:creationId xmlns:a16="http://schemas.microsoft.com/office/drawing/2014/main" id="{B923E3F0-9BE4-4E7A-B597-5182B3FCC2B0}"/>
            </a:ext>
          </a:extLst>
        </xdr:cNvPr>
        <xdr:cNvSpPr txBox="1"/>
      </xdr:nvSpPr>
      <xdr:spPr>
        <a:xfrm>
          <a:off x="3526367" y="800100"/>
          <a:ext cx="531283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070C8773-6273-4270-A78F-3A8C7BE4837B}" type="TxLink">
            <a:rPr lang="en-US" sz="18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pPr/>
            <a:t>33</a:t>
          </a:fld>
          <a:endParaRPr lang="ar-EG" sz="18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101600</xdr:colOff>
      <xdr:row>4</xdr:row>
      <xdr:rowOff>107950</xdr:rowOff>
    </xdr:from>
    <xdr:to>
      <xdr:col>10</xdr:col>
      <xdr:colOff>61384</xdr:colOff>
      <xdr:row>6</xdr:row>
      <xdr:rowOff>107950</xdr:rowOff>
    </xdr:to>
    <xdr:sp macro="" textlink="'Analysis 10'!B14">
      <xdr:nvSpPr>
        <xdr:cNvPr id="16" name="TextBox 15">
          <a:extLst>
            <a:ext uri="{FF2B5EF4-FFF2-40B4-BE49-F238E27FC236}">
              <a16:creationId xmlns:a16="http://schemas.microsoft.com/office/drawing/2014/main" id="{C924A86C-D6FB-467A-8A92-435C13BE33D0}"/>
            </a:ext>
          </a:extLst>
        </xdr:cNvPr>
        <xdr:cNvSpPr txBox="1"/>
      </xdr:nvSpPr>
      <xdr:spPr>
        <a:xfrm>
          <a:off x="4724400" y="819150"/>
          <a:ext cx="1940984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C568C8FF-7A55-4791-BA5C-5C982C6842F8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pPr/>
            <a:t>East-West Express</a:t>
          </a:fld>
          <a:endParaRPr lang="ar-EG" sz="24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266700</xdr:colOff>
      <xdr:row>4</xdr:row>
      <xdr:rowOff>120650</xdr:rowOff>
    </xdr:from>
    <xdr:to>
      <xdr:col>12</xdr:col>
      <xdr:colOff>114300</xdr:colOff>
      <xdr:row>6</xdr:row>
      <xdr:rowOff>120650</xdr:rowOff>
    </xdr:to>
    <xdr:sp macro="" textlink="'Analysis 10'!B18">
      <xdr:nvSpPr>
        <xdr:cNvPr id="17" name="TextBox 16">
          <a:extLst>
            <a:ext uri="{FF2B5EF4-FFF2-40B4-BE49-F238E27FC236}">
              <a16:creationId xmlns:a16="http://schemas.microsoft.com/office/drawing/2014/main" id="{0A0EDD82-1DF7-4C60-A624-2E6D07C7174E}"/>
            </a:ext>
          </a:extLst>
        </xdr:cNvPr>
        <xdr:cNvSpPr txBox="1"/>
      </xdr:nvSpPr>
      <xdr:spPr>
        <a:xfrm>
          <a:off x="7054850" y="831850"/>
          <a:ext cx="116840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5BC6AA35-3382-4C62-A31B-0F9B46F3E620}" type="TxLink">
            <a:rPr lang="en-US" sz="16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pPr/>
            <a:t>South Line</a:t>
          </a:fld>
          <a:endParaRPr lang="ar-EG" sz="24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247650</xdr:colOff>
      <xdr:row>4</xdr:row>
      <xdr:rowOff>31750</xdr:rowOff>
    </xdr:from>
    <xdr:to>
      <xdr:col>12</xdr:col>
      <xdr:colOff>381000</xdr:colOff>
      <xdr:row>4</xdr:row>
      <xdr:rowOff>77469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1A275490-E6FF-F0F9-FD17-BB5BA6D3117E}"/>
            </a:ext>
          </a:extLst>
        </xdr:cNvPr>
        <xdr:cNvSpPr/>
      </xdr:nvSpPr>
      <xdr:spPr>
        <a:xfrm>
          <a:off x="908050" y="742950"/>
          <a:ext cx="7581900" cy="45719"/>
        </a:xfrm>
        <a:prstGeom prst="rect">
          <a:avLst/>
        </a:prstGeom>
        <a:gradFill flip="none" rotWithShape="0">
          <a:gsLst>
            <a:gs pos="0">
              <a:schemeClr val="bg2">
                <a:lumMod val="10000"/>
              </a:schemeClr>
            </a:gs>
            <a:gs pos="100000">
              <a:schemeClr val="bg2">
                <a:lumMod val="10000"/>
              </a:schemeClr>
            </a:gs>
            <a:gs pos="50000">
              <a:schemeClr val="bg2">
                <a:lumMod val="25000"/>
              </a:schemeClr>
            </a:gs>
            <a:gs pos="0">
              <a:schemeClr val="tx1">
                <a:lumMod val="100000"/>
              </a:schemeClr>
            </a:gs>
          </a:gsLst>
          <a:lin ang="0" scaled="0"/>
          <a:tileRect/>
        </a:gra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2</xdr:col>
      <xdr:colOff>165100</xdr:colOff>
      <xdr:row>3</xdr:row>
      <xdr:rowOff>127000</xdr:rowOff>
    </xdr:from>
    <xdr:to>
      <xdr:col>2</xdr:col>
      <xdr:colOff>349250</xdr:colOff>
      <xdr:row>4</xdr:row>
      <xdr:rowOff>95250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E610B5A6-8663-5CC3-76C5-FC67EC985B07}"/>
            </a:ext>
          </a:extLst>
        </xdr:cNvPr>
        <xdr:cNvSpPr/>
      </xdr:nvSpPr>
      <xdr:spPr>
        <a:xfrm>
          <a:off x="1485900" y="66040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5</xdr:col>
      <xdr:colOff>355600</xdr:colOff>
      <xdr:row>3</xdr:row>
      <xdr:rowOff>139700</xdr:rowOff>
    </xdr:from>
    <xdr:to>
      <xdr:col>5</xdr:col>
      <xdr:colOff>539750</xdr:colOff>
      <xdr:row>4</xdr:row>
      <xdr:rowOff>107950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C75FE89-0027-4E54-B0FF-104E10551928}"/>
            </a:ext>
          </a:extLst>
        </xdr:cNvPr>
        <xdr:cNvSpPr/>
      </xdr:nvSpPr>
      <xdr:spPr>
        <a:xfrm>
          <a:off x="3657600" y="67310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11</xdr:col>
      <xdr:colOff>19050</xdr:colOff>
      <xdr:row>3</xdr:row>
      <xdr:rowOff>165100</xdr:rowOff>
    </xdr:from>
    <xdr:to>
      <xdr:col>11</xdr:col>
      <xdr:colOff>203200</xdr:colOff>
      <xdr:row>4</xdr:row>
      <xdr:rowOff>133350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6B489A94-F893-4C12-B2CF-BE5CA730D4F3}"/>
            </a:ext>
          </a:extLst>
        </xdr:cNvPr>
        <xdr:cNvSpPr/>
      </xdr:nvSpPr>
      <xdr:spPr>
        <a:xfrm>
          <a:off x="7467600" y="69850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234950</xdr:colOff>
      <xdr:row>3</xdr:row>
      <xdr:rowOff>146050</xdr:rowOff>
    </xdr:from>
    <xdr:to>
      <xdr:col>8</xdr:col>
      <xdr:colOff>419100</xdr:colOff>
      <xdr:row>4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83B3E8C-BFC9-4756-9633-0060FFA396B7}"/>
            </a:ext>
          </a:extLst>
        </xdr:cNvPr>
        <xdr:cNvSpPr/>
      </xdr:nvSpPr>
      <xdr:spPr>
        <a:xfrm>
          <a:off x="5518150" y="67945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</xdr:col>
      <xdr:colOff>260350</xdr:colOff>
      <xdr:row>0</xdr:row>
      <xdr:rowOff>25400</xdr:rowOff>
    </xdr:from>
    <xdr:to>
      <xdr:col>5</xdr:col>
      <xdr:colOff>520700</xdr:colOff>
      <xdr:row>2</xdr:row>
      <xdr:rowOff>25400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BDF5875-6895-4481-BCFD-CCB9C52CA3B9}"/>
            </a:ext>
          </a:extLst>
        </xdr:cNvPr>
        <xdr:cNvSpPr txBox="1"/>
      </xdr:nvSpPr>
      <xdr:spPr>
        <a:xfrm>
          <a:off x="920750" y="25400"/>
          <a:ext cx="2901950" cy="355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600" b="1">
              <a:solidFill>
                <a:schemeClr val="bg1">
                  <a:lumMod val="85000"/>
                </a:schemeClr>
              </a:solidFill>
              <a:latin typeface="Arial Black" panose="020B0A04020102020204" pitchFamily="34" charset="0"/>
            </a:rPr>
            <a:t>Transaction Dashboard</a:t>
          </a:r>
          <a:endParaRPr lang="ar-EG" sz="1600" b="1">
            <a:solidFill>
              <a:schemeClr val="bg1">
                <a:lumMod val="75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177800</xdr:colOff>
      <xdr:row>7</xdr:row>
      <xdr:rowOff>120650</xdr:rowOff>
    </xdr:from>
    <xdr:to>
      <xdr:col>8</xdr:col>
      <xdr:colOff>73660</xdr:colOff>
      <xdr:row>23</xdr:row>
      <xdr:rowOff>19050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26279BA1-922B-D451-7542-AD599A993D62}"/>
            </a:ext>
          </a:extLst>
        </xdr:cNvPr>
        <xdr:cNvGrpSpPr/>
      </xdr:nvGrpSpPr>
      <xdr:grpSpPr>
        <a:xfrm>
          <a:off x="838200" y="1365250"/>
          <a:ext cx="4702810" cy="2743200"/>
          <a:chOff x="838200" y="1365250"/>
          <a:chExt cx="4702810" cy="274320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4E0E7EE7-9697-44B4-B043-E0B831AD19F8}"/>
              </a:ext>
            </a:extLst>
          </xdr:cNvPr>
          <xdr:cNvSpPr/>
        </xdr:nvSpPr>
        <xdr:spPr>
          <a:xfrm>
            <a:off x="876300" y="1365250"/>
            <a:ext cx="4664710" cy="2743200"/>
          </a:xfrm>
          <a:prstGeom prst="round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C5F38544-9A25-4736-99BD-F1B52DCD6DDD}"/>
              </a:ext>
            </a:extLst>
          </xdr:cNvPr>
          <xdr:cNvSpPr/>
        </xdr:nvSpPr>
        <xdr:spPr>
          <a:xfrm>
            <a:off x="838200" y="1365250"/>
            <a:ext cx="4664710" cy="2743200"/>
          </a:xfrm>
          <a:prstGeom prst="round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571500</xdr:colOff>
      <xdr:row>8</xdr:row>
      <xdr:rowOff>31750</xdr:rowOff>
    </xdr:from>
    <xdr:to>
      <xdr:col>7</xdr:col>
      <xdr:colOff>387350</xdr:colOff>
      <xdr:row>9</xdr:row>
      <xdr:rowOff>165100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5A577EA-F8A2-431B-8861-3DB37E9EB24F}"/>
            </a:ext>
          </a:extLst>
        </xdr:cNvPr>
        <xdr:cNvSpPr txBox="1"/>
      </xdr:nvSpPr>
      <xdr:spPr>
        <a:xfrm>
          <a:off x="1231900" y="1454150"/>
          <a:ext cx="37782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Bus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Utilization by time Range (Total Passenger by time)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</xdr:col>
      <xdr:colOff>419100</xdr:colOff>
      <xdr:row>8</xdr:row>
      <xdr:rowOff>95250</xdr:rowOff>
    </xdr:from>
    <xdr:to>
      <xdr:col>1</xdr:col>
      <xdr:colOff>603250</xdr:colOff>
      <xdr:row>9</xdr:row>
      <xdr:rowOff>63500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CB392105-579F-4136-85B3-35854B0EBEAE}"/>
            </a:ext>
          </a:extLst>
        </xdr:cNvPr>
        <xdr:cNvSpPr/>
      </xdr:nvSpPr>
      <xdr:spPr>
        <a:xfrm>
          <a:off x="1079500" y="151765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</xdr:col>
      <xdr:colOff>266700</xdr:colOff>
      <xdr:row>10</xdr:row>
      <xdr:rowOff>57150</xdr:rowOff>
    </xdr:from>
    <xdr:to>
      <xdr:col>5</xdr:col>
      <xdr:colOff>577850</xdr:colOff>
      <xdr:row>23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1DED8F34-8E58-4C82-815C-2E97D9BE41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604552</xdr:colOff>
      <xdr:row>10</xdr:row>
      <xdr:rowOff>82550</xdr:rowOff>
    </xdr:from>
    <xdr:to>
      <xdr:col>7</xdr:col>
      <xdr:colOff>19732</xdr:colOff>
      <xdr:row>14</xdr:row>
      <xdr:rowOff>12700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F01AE290-7387-987B-5345-A4A444805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0702" y="1860550"/>
          <a:ext cx="735980" cy="64135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488950</xdr:colOff>
      <xdr:row>16</xdr:row>
      <xdr:rowOff>152400</xdr:rowOff>
    </xdr:from>
    <xdr:to>
      <xdr:col>6</xdr:col>
      <xdr:colOff>552450</xdr:colOff>
      <xdr:row>20</xdr:row>
      <xdr:rowOff>165100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DAFCEC4-3A68-D476-BF83-3FFCA0F5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5100" y="2997200"/>
          <a:ext cx="723900" cy="723900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9</xdr:row>
      <xdr:rowOff>50800</xdr:rowOff>
    </xdr:from>
    <xdr:to>
      <xdr:col>7</xdr:col>
      <xdr:colOff>101600</xdr:colOff>
      <xdr:row>10</xdr:row>
      <xdr:rowOff>120650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9728368-4BEF-45E8-ABE6-94AF05136B37}"/>
            </a:ext>
          </a:extLst>
        </xdr:cNvPr>
        <xdr:cNvSpPr txBox="1"/>
      </xdr:nvSpPr>
      <xdr:spPr>
        <a:xfrm>
          <a:off x="3943350" y="1651000"/>
          <a:ext cx="9652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Peek Hour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374650</xdr:colOff>
      <xdr:row>15</xdr:row>
      <xdr:rowOff>69850</xdr:rowOff>
    </xdr:from>
    <xdr:to>
      <xdr:col>7</xdr:col>
      <xdr:colOff>177800</xdr:colOff>
      <xdr:row>17</xdr:row>
      <xdr:rowOff>12700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9BED3E3-4BE9-49E0-9E15-422518F06CBD}"/>
            </a:ext>
          </a:extLst>
        </xdr:cNvPr>
        <xdr:cNvSpPr txBox="1"/>
      </xdr:nvSpPr>
      <xdr:spPr>
        <a:xfrm>
          <a:off x="3676650" y="2736850"/>
          <a:ext cx="1123950" cy="298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Off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</a:t>
          </a:r>
          <a:r>
            <a:rPr lang="en-US" sz="1200" b="1">
              <a:solidFill>
                <a:schemeClr val="bg1">
                  <a:lumMod val="85000"/>
                </a:schemeClr>
              </a:solidFill>
            </a:rPr>
            <a:t>peak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Hour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387350</xdr:colOff>
      <xdr:row>14</xdr:row>
      <xdr:rowOff>0</xdr:rowOff>
    </xdr:from>
    <xdr:to>
      <xdr:col>7</xdr:col>
      <xdr:colOff>139700</xdr:colOff>
      <xdr:row>15</xdr:row>
      <xdr:rowOff>63500</xdr:rowOff>
    </xdr:to>
    <xdr:sp macro="" textlink="'Analysis 10'!F28">
      <xdr:nvSpPr>
        <xdr:cNvPr id="39" name="TextBox 38">
          <a:extLst>
            <a:ext uri="{FF2B5EF4-FFF2-40B4-BE49-F238E27FC236}">
              <a16:creationId xmlns:a16="http://schemas.microsoft.com/office/drawing/2014/main" id="{2B80F28E-F515-406E-AD1A-0E547CF7B052}"/>
            </a:ext>
          </a:extLst>
        </xdr:cNvPr>
        <xdr:cNvSpPr txBox="1"/>
      </xdr:nvSpPr>
      <xdr:spPr>
        <a:xfrm>
          <a:off x="3873500" y="2489200"/>
          <a:ext cx="1073150" cy="241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A1E336A4-6EBF-4869-863D-A15954D9018B}" type="TxLink">
            <a:rPr lang="en-US" sz="12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pPr/>
            <a:t>11:41:00 AM</a:t>
          </a:fld>
          <a:endParaRPr lang="ar-EG" sz="18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387350</xdr:colOff>
      <xdr:row>20</xdr:row>
      <xdr:rowOff>158750</xdr:rowOff>
    </xdr:from>
    <xdr:to>
      <xdr:col>7</xdr:col>
      <xdr:colOff>158750</xdr:colOff>
      <xdr:row>22</xdr:row>
      <xdr:rowOff>120650</xdr:rowOff>
    </xdr:to>
    <xdr:sp macro="" textlink="'Analysis 10'!I28">
      <xdr:nvSpPr>
        <xdr:cNvPr id="40" name="TextBox 39">
          <a:extLst>
            <a:ext uri="{FF2B5EF4-FFF2-40B4-BE49-F238E27FC236}">
              <a16:creationId xmlns:a16="http://schemas.microsoft.com/office/drawing/2014/main" id="{A64FCC09-6625-4BF8-B74D-A9778B893A67}"/>
            </a:ext>
          </a:extLst>
        </xdr:cNvPr>
        <xdr:cNvSpPr txBox="1"/>
      </xdr:nvSpPr>
      <xdr:spPr>
        <a:xfrm>
          <a:off x="3873500" y="3714750"/>
          <a:ext cx="1092200" cy="317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E1D8665D-9718-4E06-AD26-1227259498D6}" type="TxLink">
            <a:rPr lang="en-US" sz="12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pPr/>
            <a:t>12:34:00 PM</a:t>
          </a:fld>
          <a:endParaRPr lang="ar-EG" sz="18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171450</xdr:colOff>
      <xdr:row>23</xdr:row>
      <xdr:rowOff>88900</xdr:rowOff>
    </xdr:from>
    <xdr:to>
      <xdr:col>8</xdr:col>
      <xdr:colOff>67310</xdr:colOff>
      <xdr:row>33</xdr:row>
      <xdr:rowOff>6350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3513A894-385E-456D-B058-34D965E38958}"/>
            </a:ext>
          </a:extLst>
        </xdr:cNvPr>
        <xdr:cNvGrpSpPr/>
      </xdr:nvGrpSpPr>
      <xdr:grpSpPr>
        <a:xfrm>
          <a:off x="831850" y="4178300"/>
          <a:ext cx="4702810" cy="1695450"/>
          <a:chOff x="838200" y="1365250"/>
          <a:chExt cx="4702810" cy="2743200"/>
        </a:xfrm>
      </xdr:grpSpPr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A9314FBB-6B84-5188-7DA7-9610D302C921}"/>
              </a:ext>
            </a:extLst>
          </xdr:cNvPr>
          <xdr:cNvSpPr/>
        </xdr:nvSpPr>
        <xdr:spPr>
          <a:xfrm>
            <a:off x="876300" y="1365250"/>
            <a:ext cx="4664710" cy="2743200"/>
          </a:xfrm>
          <a:prstGeom prst="round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26D7ED2E-9035-B628-6944-C20B4842F1A0}"/>
              </a:ext>
            </a:extLst>
          </xdr:cNvPr>
          <xdr:cNvSpPr/>
        </xdr:nvSpPr>
        <xdr:spPr>
          <a:xfrm>
            <a:off x="838200" y="1365250"/>
            <a:ext cx="4664710" cy="2743200"/>
          </a:xfrm>
          <a:prstGeom prst="round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1</xdr:col>
      <xdr:colOff>336550</xdr:colOff>
      <xdr:row>25</xdr:row>
      <xdr:rowOff>165100</xdr:rowOff>
    </xdr:from>
    <xdr:to>
      <xdr:col>4</xdr:col>
      <xdr:colOff>76200</xdr:colOff>
      <xdr:row>32</xdr:row>
      <xdr:rowOff>82550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E0CB55E-F01D-43F1-BD37-A6B984173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393700</xdr:colOff>
      <xdr:row>23</xdr:row>
      <xdr:rowOff>152400</xdr:rowOff>
    </xdr:from>
    <xdr:to>
      <xdr:col>4</xdr:col>
      <xdr:colOff>450850</xdr:colOff>
      <xdr:row>25</xdr:row>
      <xdr:rowOff>107950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761B4FD-766A-4853-9C06-52368450A50A}"/>
            </a:ext>
          </a:extLst>
        </xdr:cNvPr>
        <xdr:cNvSpPr txBox="1"/>
      </xdr:nvSpPr>
      <xdr:spPr>
        <a:xfrm>
          <a:off x="1054100" y="4241800"/>
          <a:ext cx="22225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Total Riders Yearly Distribution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</xdr:col>
      <xdr:colOff>247650</xdr:colOff>
      <xdr:row>24</xdr:row>
      <xdr:rowOff>44450</xdr:rowOff>
    </xdr:from>
    <xdr:to>
      <xdr:col>1</xdr:col>
      <xdr:colOff>431800</xdr:colOff>
      <xdr:row>25</xdr:row>
      <xdr:rowOff>12700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2D94647-9B9D-400A-BB19-41707C2579EE}"/>
            </a:ext>
          </a:extLst>
        </xdr:cNvPr>
        <xdr:cNvSpPr/>
      </xdr:nvSpPr>
      <xdr:spPr>
        <a:xfrm>
          <a:off x="908050" y="431165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5</xdr:col>
      <xdr:colOff>381000</xdr:colOff>
      <xdr:row>24</xdr:row>
      <xdr:rowOff>158750</xdr:rowOff>
    </xdr:from>
    <xdr:to>
      <xdr:col>7</xdr:col>
      <xdr:colOff>323850</xdr:colOff>
      <xdr:row>26</xdr:row>
      <xdr:rowOff>114300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AD410697-9DA0-4E67-B522-79B54A9968D9}"/>
            </a:ext>
          </a:extLst>
        </xdr:cNvPr>
        <xdr:cNvSpPr txBox="1"/>
      </xdr:nvSpPr>
      <xdr:spPr>
        <a:xfrm>
          <a:off x="3867150" y="4425950"/>
          <a:ext cx="12636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YOY  change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5</xdr:col>
      <xdr:colOff>69850</xdr:colOff>
      <xdr:row>29</xdr:row>
      <xdr:rowOff>0</xdr:rowOff>
    </xdr:from>
    <xdr:to>
      <xdr:col>7</xdr:col>
      <xdr:colOff>539750</xdr:colOff>
      <xdr:row>31</xdr:row>
      <xdr:rowOff>152400</xdr:rowOff>
    </xdr:to>
    <xdr:sp macro="" textlink="'Analysis 10'!G43">
      <xdr:nvSpPr>
        <xdr:cNvPr id="45" name="TextBox 44">
          <a:extLst>
            <a:ext uri="{FF2B5EF4-FFF2-40B4-BE49-F238E27FC236}">
              <a16:creationId xmlns:a16="http://schemas.microsoft.com/office/drawing/2014/main" id="{43DF8E97-F239-4A6F-911A-576E899BB42D}"/>
            </a:ext>
          </a:extLst>
        </xdr:cNvPr>
        <xdr:cNvSpPr txBox="1"/>
      </xdr:nvSpPr>
      <xdr:spPr>
        <a:xfrm>
          <a:off x="3556000" y="5156200"/>
          <a:ext cx="1790700" cy="5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2D98D683-8DBC-4348-B6B2-767626588D46}" type="TxLink">
            <a:rPr lang="en-US" sz="1100" b="1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t>YOY change sugests room for improvement</a:t>
          </a:fld>
          <a:endParaRPr lang="ar-EG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444500</xdr:colOff>
      <xdr:row>26</xdr:row>
      <xdr:rowOff>146050</xdr:rowOff>
    </xdr:from>
    <xdr:to>
      <xdr:col>6</xdr:col>
      <xdr:colOff>647700</xdr:colOff>
      <xdr:row>28</xdr:row>
      <xdr:rowOff>101600</xdr:rowOff>
    </xdr:to>
    <xdr:sp macro="" textlink="'Analysis 10'!$H$34">
      <xdr:nvSpPr>
        <xdr:cNvPr id="51" name="TextBox 50">
          <a:extLst>
            <a:ext uri="{FF2B5EF4-FFF2-40B4-BE49-F238E27FC236}">
              <a16:creationId xmlns:a16="http://schemas.microsoft.com/office/drawing/2014/main" id="{72D71249-5838-4C4A-8BA8-E70092CD2C89}"/>
            </a:ext>
          </a:extLst>
        </xdr:cNvPr>
        <xdr:cNvSpPr txBox="1"/>
      </xdr:nvSpPr>
      <xdr:spPr>
        <a:xfrm>
          <a:off x="3930650" y="4768850"/>
          <a:ext cx="8636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8CDA00D1-70E2-4E9A-AA34-43B3FCE8A2A6}" type="TxLink">
            <a:rPr lang="en-US" sz="140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t>-83.50%</a:t>
          </a:fld>
          <a:endParaRPr lang="ar-EG" sz="16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6350</xdr:colOff>
      <xdr:row>25</xdr:row>
      <xdr:rowOff>38100</xdr:rowOff>
    </xdr:from>
    <xdr:to>
      <xdr:col>5</xdr:col>
      <xdr:colOff>273050</xdr:colOff>
      <xdr:row>30</xdr:row>
      <xdr:rowOff>120650</xdr:rowOff>
    </xdr:to>
    <xdr:pic>
      <xdr:nvPicPr>
        <xdr:cNvPr id="53" name="Graphic 52" descr="Lightbulb with solid fill">
          <a:extLst>
            <a:ext uri="{FF2B5EF4-FFF2-40B4-BE49-F238E27FC236}">
              <a16:creationId xmlns:a16="http://schemas.microsoft.com/office/drawing/2014/main" id="{8286581E-7F15-E512-B33D-ED475484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duotone>
            <a:schemeClr val="bg2">
              <a:shade val="45000"/>
              <a:satMod val="135000"/>
            </a:schemeClr>
            <a:prstClr val="white"/>
          </a:duotone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32100" y="4483100"/>
          <a:ext cx="927100" cy="971550"/>
        </a:xfrm>
        <a:prstGeom prst="rect">
          <a:avLst/>
        </a:prstGeom>
      </xdr:spPr>
    </xdr:pic>
    <xdr:clientData/>
  </xdr:twoCellAnchor>
  <xdr:twoCellAnchor>
    <xdr:from>
      <xdr:col>8</xdr:col>
      <xdr:colOff>330200</xdr:colOff>
      <xdr:row>7</xdr:row>
      <xdr:rowOff>158750</xdr:rowOff>
    </xdr:from>
    <xdr:to>
      <xdr:col>12</xdr:col>
      <xdr:colOff>336550</xdr:colOff>
      <xdr:row>33</xdr:row>
      <xdr:rowOff>12700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8587F43-F9C7-4AAB-8F01-BDE49123536F}"/>
            </a:ext>
          </a:extLst>
        </xdr:cNvPr>
        <xdr:cNvGrpSpPr/>
      </xdr:nvGrpSpPr>
      <xdr:grpSpPr>
        <a:xfrm>
          <a:off x="5797550" y="1403350"/>
          <a:ext cx="2647950" cy="4476750"/>
          <a:chOff x="838200" y="1365250"/>
          <a:chExt cx="4702810" cy="2743200"/>
        </a:xfrm>
      </xdr:grpSpPr>
      <xdr:sp macro="" textlink="">
        <xdr:nvSpPr>
          <xdr:cNvPr id="57" name="Rectangle: Rounded Corners 56">
            <a:extLst>
              <a:ext uri="{FF2B5EF4-FFF2-40B4-BE49-F238E27FC236}">
                <a16:creationId xmlns:a16="http://schemas.microsoft.com/office/drawing/2014/main" id="{D948425C-F47B-8F1C-DA92-AC8AA637F219}"/>
              </a:ext>
            </a:extLst>
          </xdr:cNvPr>
          <xdr:cNvSpPr/>
        </xdr:nvSpPr>
        <xdr:spPr>
          <a:xfrm>
            <a:off x="876300" y="1365250"/>
            <a:ext cx="4664710" cy="2743200"/>
          </a:xfrm>
          <a:prstGeom prst="round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1BD0BB06-472C-D34D-A95A-2A1D16FE5238}"/>
              </a:ext>
            </a:extLst>
          </xdr:cNvPr>
          <xdr:cNvSpPr/>
        </xdr:nvSpPr>
        <xdr:spPr>
          <a:xfrm>
            <a:off x="838200" y="1365250"/>
            <a:ext cx="4664710" cy="2743200"/>
          </a:xfrm>
          <a:prstGeom prst="round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8</xdr:col>
      <xdr:colOff>323850</xdr:colOff>
      <xdr:row>23</xdr:row>
      <xdr:rowOff>6350</xdr:rowOff>
    </xdr:from>
    <xdr:to>
      <xdr:col>12</xdr:col>
      <xdr:colOff>355600</xdr:colOff>
      <xdr:row>32</xdr:row>
      <xdr:rowOff>31750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654EC01E-5A63-4FD4-A9BC-CC47E6DDC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400050</xdr:colOff>
      <xdr:row>20</xdr:row>
      <xdr:rowOff>0</xdr:rowOff>
    </xdr:from>
    <xdr:to>
      <xdr:col>12</xdr:col>
      <xdr:colOff>114300</xdr:colOff>
      <xdr:row>24</xdr:row>
      <xdr:rowOff>114300</xdr:rowOff>
    </xdr:to>
    <xdr:sp macro="" textlink="'Analysis 10'!J56">
      <xdr:nvSpPr>
        <xdr:cNvPr id="59" name="TextBox 58">
          <a:extLst>
            <a:ext uri="{FF2B5EF4-FFF2-40B4-BE49-F238E27FC236}">
              <a16:creationId xmlns:a16="http://schemas.microsoft.com/office/drawing/2014/main" id="{9EB15C9E-CC71-4CD7-AD54-AED1283CCC77}"/>
            </a:ext>
          </a:extLst>
        </xdr:cNvPr>
        <xdr:cNvSpPr txBox="1"/>
      </xdr:nvSpPr>
      <xdr:spPr>
        <a:xfrm>
          <a:off x="5867400" y="3556000"/>
          <a:ext cx="2355850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FE41C24A-D892-409E-890D-9D9CAD6F22E4}" type="TxLink">
            <a:rPr lang="en-US" sz="1050" b="0" i="0" u="none" strike="noStrike">
              <a:solidFill>
                <a:schemeClr val="bg1">
                  <a:lumMod val="75000"/>
                </a:schemeClr>
              </a:solidFill>
              <a:latin typeface="Arial"/>
              <a:cs typeface="Arial"/>
            </a:rPr>
            <a:t>Focus On Highlited Weekdays: They Exceed the 941 Passenger average and account for 49.4% of the total passengers</a:t>
          </a:fld>
          <a:endParaRPr lang="ar-EG" sz="11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609600</xdr:colOff>
      <xdr:row>18</xdr:row>
      <xdr:rowOff>50800</xdr:rowOff>
    </xdr:from>
    <xdr:to>
      <xdr:col>12</xdr:col>
      <xdr:colOff>127000</xdr:colOff>
      <xdr:row>20</xdr:row>
      <xdr:rowOff>6350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FD5F2CEF-2597-491F-8001-EFD55DAAEDAE}"/>
            </a:ext>
          </a:extLst>
        </xdr:cNvPr>
        <xdr:cNvSpPr txBox="1"/>
      </xdr:nvSpPr>
      <xdr:spPr>
        <a:xfrm>
          <a:off x="6076950" y="3251200"/>
          <a:ext cx="21590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Riders Weekday distribution 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8</xdr:col>
      <xdr:colOff>425450</xdr:colOff>
      <xdr:row>18</xdr:row>
      <xdr:rowOff>120650</xdr:rowOff>
    </xdr:from>
    <xdr:to>
      <xdr:col>8</xdr:col>
      <xdr:colOff>609600</xdr:colOff>
      <xdr:row>19</xdr:row>
      <xdr:rowOff>88900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A6F51221-725D-40CA-AFAE-549899658AE0}"/>
            </a:ext>
          </a:extLst>
        </xdr:cNvPr>
        <xdr:cNvSpPr/>
      </xdr:nvSpPr>
      <xdr:spPr>
        <a:xfrm>
          <a:off x="5892800" y="332105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425450</xdr:colOff>
      <xdr:row>10</xdr:row>
      <xdr:rowOff>101600</xdr:rowOff>
    </xdr:from>
    <xdr:to>
      <xdr:col>12</xdr:col>
      <xdr:colOff>158750</xdr:colOff>
      <xdr:row>17</xdr:row>
      <xdr:rowOff>165100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3015DBF5-9907-4E5D-8207-9C840619B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8</xdr:row>
      <xdr:rowOff>114300</xdr:rowOff>
    </xdr:from>
    <xdr:to>
      <xdr:col>11</xdr:col>
      <xdr:colOff>609600</xdr:colOff>
      <xdr:row>10</xdr:row>
      <xdr:rowOff>69850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FD74197A-E61C-4B20-9B2B-06B78F7E9F53}"/>
            </a:ext>
          </a:extLst>
        </xdr:cNvPr>
        <xdr:cNvSpPr txBox="1"/>
      </xdr:nvSpPr>
      <xdr:spPr>
        <a:xfrm>
          <a:off x="6127750" y="1536700"/>
          <a:ext cx="19304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Riders Monthly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distribution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8</xdr:col>
      <xdr:colOff>457200</xdr:colOff>
      <xdr:row>9</xdr:row>
      <xdr:rowOff>12700</xdr:rowOff>
    </xdr:from>
    <xdr:to>
      <xdr:col>8</xdr:col>
      <xdr:colOff>641350</xdr:colOff>
      <xdr:row>9</xdr:row>
      <xdr:rowOff>158750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6213AD1-A5B6-4D96-A4A0-56BCC5FA688A}"/>
            </a:ext>
          </a:extLst>
        </xdr:cNvPr>
        <xdr:cNvSpPr/>
      </xdr:nvSpPr>
      <xdr:spPr>
        <a:xfrm>
          <a:off x="5924550" y="161290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393700</xdr:colOff>
      <xdr:row>17</xdr:row>
      <xdr:rowOff>133350</xdr:rowOff>
    </xdr:from>
    <xdr:to>
      <xdr:col>12</xdr:col>
      <xdr:colOff>234950</xdr:colOff>
      <xdr:row>18</xdr:row>
      <xdr:rowOff>1269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226C65F-4210-4C98-95EC-73195A1910D2}"/>
            </a:ext>
          </a:extLst>
        </xdr:cNvPr>
        <xdr:cNvSpPr/>
      </xdr:nvSpPr>
      <xdr:spPr>
        <a:xfrm>
          <a:off x="5861050" y="3155950"/>
          <a:ext cx="2482850" cy="45719"/>
        </a:xfrm>
        <a:prstGeom prst="rect">
          <a:avLst/>
        </a:prstGeom>
        <a:gradFill flip="none" rotWithShape="0">
          <a:gsLst>
            <a:gs pos="0">
              <a:schemeClr val="bg2">
                <a:lumMod val="10000"/>
              </a:schemeClr>
            </a:gs>
            <a:gs pos="100000">
              <a:schemeClr val="bg2">
                <a:lumMod val="10000"/>
              </a:schemeClr>
            </a:gs>
            <a:gs pos="50000">
              <a:schemeClr val="bg2">
                <a:lumMod val="25000"/>
              </a:schemeClr>
            </a:gs>
            <a:gs pos="0">
              <a:schemeClr val="tx1">
                <a:lumMod val="100000"/>
              </a:schemeClr>
            </a:gs>
          </a:gsLst>
          <a:lin ang="0" scaled="0"/>
          <a:tileRect/>
        </a:gra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12</xdr:col>
      <xdr:colOff>641350</xdr:colOff>
      <xdr:row>2</xdr:row>
      <xdr:rowOff>139700</xdr:rowOff>
    </xdr:from>
    <xdr:to>
      <xdr:col>17</xdr:col>
      <xdr:colOff>482600</xdr:colOff>
      <xdr:row>32</xdr:row>
      <xdr:rowOff>158750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1D478358-0D83-1C8E-83BD-880B25230E65}"/>
            </a:ext>
          </a:extLst>
        </xdr:cNvPr>
        <xdr:cNvGrpSpPr/>
      </xdr:nvGrpSpPr>
      <xdr:grpSpPr>
        <a:xfrm>
          <a:off x="8750300" y="495300"/>
          <a:ext cx="3143250" cy="5353050"/>
          <a:chOff x="838200" y="1365250"/>
          <a:chExt cx="4702810" cy="2743200"/>
        </a:xfrm>
      </xdr:grpSpPr>
      <xdr:sp macro="" textlink="">
        <xdr:nvSpPr>
          <xdr:cNvPr id="72" name="Rectangle: Rounded Corners 71">
            <a:extLst>
              <a:ext uri="{FF2B5EF4-FFF2-40B4-BE49-F238E27FC236}">
                <a16:creationId xmlns:a16="http://schemas.microsoft.com/office/drawing/2014/main" id="{5EC0D1D0-C2C6-C891-53D7-9CF5D53EA7AE}"/>
              </a:ext>
            </a:extLst>
          </xdr:cNvPr>
          <xdr:cNvSpPr/>
        </xdr:nvSpPr>
        <xdr:spPr>
          <a:xfrm>
            <a:off x="876300" y="1365250"/>
            <a:ext cx="4664710" cy="2743200"/>
          </a:xfrm>
          <a:prstGeom prst="roundRect">
            <a:avLst/>
          </a:prstGeom>
          <a:solidFill>
            <a:schemeClr val="bg1">
              <a:lumMod val="6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  <xdr:sp macro="" textlink="">
        <xdr:nvSpPr>
          <xdr:cNvPr id="73" name="Rectangle: Rounded Corners 72">
            <a:extLst>
              <a:ext uri="{FF2B5EF4-FFF2-40B4-BE49-F238E27FC236}">
                <a16:creationId xmlns:a16="http://schemas.microsoft.com/office/drawing/2014/main" id="{E3E8C369-9FC3-4981-896A-DAD090FB1058}"/>
              </a:ext>
            </a:extLst>
          </xdr:cNvPr>
          <xdr:cNvSpPr/>
        </xdr:nvSpPr>
        <xdr:spPr>
          <a:xfrm>
            <a:off x="838200" y="1365250"/>
            <a:ext cx="4664710" cy="2743200"/>
          </a:xfrm>
          <a:prstGeom prst="roundRect">
            <a:avLst/>
          </a:prstGeom>
          <a:solidFill>
            <a:schemeClr val="bg2">
              <a:lumMod val="1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1" anchor="t"/>
          <a:lstStyle/>
          <a:p>
            <a:pPr algn="l"/>
            <a:endParaRPr lang="ar-EG" sz="1100">
              <a:ln>
                <a:solidFill>
                  <a:sysClr val="windowText" lastClr="000000"/>
                </a:solidFill>
              </a:ln>
            </a:endParaRPr>
          </a:p>
        </xdr:txBody>
      </xdr:sp>
    </xdr:grpSp>
    <xdr:clientData/>
  </xdr:twoCellAnchor>
  <xdr:twoCellAnchor>
    <xdr:from>
      <xdr:col>15</xdr:col>
      <xdr:colOff>381000</xdr:colOff>
      <xdr:row>4</xdr:row>
      <xdr:rowOff>114300</xdr:rowOff>
    </xdr:from>
    <xdr:to>
      <xdr:col>17</xdr:col>
      <xdr:colOff>419100</xdr:colOff>
      <xdr:row>11</xdr:row>
      <xdr:rowOff>95250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365C9E04-DE32-413C-9FE4-250A0FEE7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190500</xdr:colOff>
      <xdr:row>4</xdr:row>
      <xdr:rowOff>114300</xdr:rowOff>
    </xdr:from>
    <xdr:to>
      <xdr:col>15</xdr:col>
      <xdr:colOff>44450</xdr:colOff>
      <xdr:row>11</xdr:row>
      <xdr:rowOff>50800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78C1B483-670B-47DF-A30F-BD6F6D82C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323850</xdr:colOff>
      <xdr:row>12</xdr:row>
      <xdr:rowOff>95250</xdr:rowOff>
    </xdr:from>
    <xdr:to>
      <xdr:col>16</xdr:col>
      <xdr:colOff>330200</xdr:colOff>
      <xdr:row>19</xdr:row>
      <xdr:rowOff>114300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5B66B463-D720-4E35-A1D1-4AD06D50AC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438150</xdr:colOff>
      <xdr:row>7</xdr:row>
      <xdr:rowOff>63500</xdr:rowOff>
    </xdr:from>
    <xdr:to>
      <xdr:col>14</xdr:col>
      <xdr:colOff>469900</xdr:colOff>
      <xdr:row>8</xdr:row>
      <xdr:rowOff>133350</xdr:rowOff>
    </xdr:to>
    <xdr:sp macro="" textlink="'Analysis 10'!I85">
      <xdr:nvSpPr>
        <xdr:cNvPr id="76" name="TextBox 75">
          <a:extLst>
            <a:ext uri="{FF2B5EF4-FFF2-40B4-BE49-F238E27FC236}">
              <a16:creationId xmlns:a16="http://schemas.microsoft.com/office/drawing/2014/main" id="{5E3C5E36-9E71-4C0A-9AE2-C3B8C567B38A}"/>
            </a:ext>
          </a:extLst>
        </xdr:cNvPr>
        <xdr:cNvSpPr txBox="1"/>
      </xdr:nvSpPr>
      <xdr:spPr>
        <a:xfrm>
          <a:off x="9207500" y="1308100"/>
          <a:ext cx="692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7644808B-91EF-4554-86DA-C579B9B7DF98}" type="TxLink">
            <a:rPr lang="en-US" sz="1100" b="1" i="0" u="none" strike="noStrike">
              <a:solidFill>
                <a:schemeClr val="accent1"/>
              </a:solidFill>
              <a:latin typeface="Aptos Black" panose="020B0004020202020204" pitchFamily="34" charset="0"/>
              <a:cs typeface="Arial"/>
            </a:rPr>
            <a:t>32.93%</a:t>
          </a:fld>
          <a:endParaRPr lang="ar-EG" sz="1200" b="1">
            <a:solidFill>
              <a:schemeClr val="accent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16</xdr:col>
      <xdr:colOff>76200</xdr:colOff>
      <xdr:row>7</xdr:row>
      <xdr:rowOff>82550</xdr:rowOff>
    </xdr:from>
    <xdr:to>
      <xdr:col>17</xdr:col>
      <xdr:colOff>107950</xdr:colOff>
      <xdr:row>8</xdr:row>
      <xdr:rowOff>152400</xdr:rowOff>
    </xdr:to>
    <xdr:sp macro="" textlink="'Analysis 10'!I86">
      <xdr:nvSpPr>
        <xdr:cNvPr id="77" name="TextBox 76">
          <a:extLst>
            <a:ext uri="{FF2B5EF4-FFF2-40B4-BE49-F238E27FC236}">
              <a16:creationId xmlns:a16="http://schemas.microsoft.com/office/drawing/2014/main" id="{3E61BA7A-647B-41CF-B7BF-E5C91A1D9707}"/>
            </a:ext>
          </a:extLst>
        </xdr:cNvPr>
        <xdr:cNvSpPr txBox="1"/>
      </xdr:nvSpPr>
      <xdr:spPr>
        <a:xfrm>
          <a:off x="10826750" y="1327150"/>
          <a:ext cx="692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B3B6256B-35B0-496D-890A-24DCC7064153}" type="TxLink">
            <a:rPr lang="en-US" sz="1100" b="0" i="0" u="none" strike="noStrike">
              <a:solidFill>
                <a:schemeClr val="accent1"/>
              </a:solidFill>
              <a:latin typeface="Aptos Black" panose="020B0004020202020204" pitchFamily="34" charset="0"/>
              <a:cs typeface="Arial"/>
            </a:rPr>
            <a:t>23.17%</a:t>
          </a:fld>
          <a:endParaRPr lang="ar-EG" sz="1200" b="1">
            <a:solidFill>
              <a:schemeClr val="accent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14</xdr:col>
      <xdr:colOff>641350</xdr:colOff>
      <xdr:row>15</xdr:row>
      <xdr:rowOff>50800</xdr:rowOff>
    </xdr:from>
    <xdr:to>
      <xdr:col>16</xdr:col>
      <xdr:colOff>12700</xdr:colOff>
      <xdr:row>16</xdr:row>
      <xdr:rowOff>120650</xdr:rowOff>
    </xdr:to>
    <xdr:sp macro="" textlink="'Analysis 10'!I87">
      <xdr:nvSpPr>
        <xdr:cNvPr id="78" name="TextBox 77">
          <a:extLst>
            <a:ext uri="{FF2B5EF4-FFF2-40B4-BE49-F238E27FC236}">
              <a16:creationId xmlns:a16="http://schemas.microsoft.com/office/drawing/2014/main" id="{F2C61DA7-27EA-4BF0-B394-968DFA9B3F47}"/>
            </a:ext>
          </a:extLst>
        </xdr:cNvPr>
        <xdr:cNvSpPr txBox="1"/>
      </xdr:nvSpPr>
      <xdr:spPr>
        <a:xfrm>
          <a:off x="10071100" y="2717800"/>
          <a:ext cx="6921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122123B6-F89D-416E-885F-DE291DEDC929}" type="TxLink">
            <a:rPr lang="en-US" sz="1100" b="0" i="0" u="none" strike="noStrike">
              <a:solidFill>
                <a:schemeClr val="accent1"/>
              </a:solidFill>
              <a:latin typeface="Aptos Black" panose="020B0004020202020204" pitchFamily="34" charset="0"/>
              <a:cs typeface="Arial"/>
            </a:rPr>
            <a:t>43.90%</a:t>
          </a:fld>
          <a:endParaRPr lang="ar-EG" sz="1200" b="1">
            <a:solidFill>
              <a:schemeClr val="accent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13</xdr:col>
      <xdr:colOff>177800</xdr:colOff>
      <xdr:row>10</xdr:row>
      <xdr:rowOff>104775</xdr:rowOff>
    </xdr:from>
    <xdr:to>
      <xdr:col>15</xdr:col>
      <xdr:colOff>25400</xdr:colOff>
      <xdr:row>12</xdr:row>
      <xdr:rowOff>3175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50FD3E09-4DAB-4429-A20A-E6F9A12C8568}"/>
            </a:ext>
          </a:extLst>
        </xdr:cNvPr>
        <xdr:cNvSpPr txBox="1"/>
      </xdr:nvSpPr>
      <xdr:spPr>
        <a:xfrm>
          <a:off x="8947150" y="1882775"/>
          <a:ext cx="11684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Over Utilization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15</xdr:col>
      <xdr:colOff>514350</xdr:colOff>
      <xdr:row>10</xdr:row>
      <xdr:rowOff>107950</xdr:rowOff>
    </xdr:from>
    <xdr:to>
      <xdr:col>17</xdr:col>
      <xdr:colOff>457200</xdr:colOff>
      <xdr:row>12</xdr:row>
      <xdr:rowOff>12700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79545904-8154-4344-B79C-5E54B8F87205}"/>
            </a:ext>
          </a:extLst>
        </xdr:cNvPr>
        <xdr:cNvSpPr txBox="1"/>
      </xdr:nvSpPr>
      <xdr:spPr>
        <a:xfrm>
          <a:off x="10604500" y="1885950"/>
          <a:ext cx="12636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Under Utilization</a:t>
          </a:r>
        </a:p>
      </xdr:txBody>
    </xdr:sp>
    <xdr:clientData/>
  </xdr:twoCellAnchor>
  <xdr:twoCellAnchor>
    <xdr:from>
      <xdr:col>14</xdr:col>
      <xdr:colOff>431800</xdr:colOff>
      <xdr:row>18</xdr:row>
      <xdr:rowOff>88900</xdr:rowOff>
    </xdr:from>
    <xdr:to>
      <xdr:col>16</xdr:col>
      <xdr:colOff>317500</xdr:colOff>
      <xdr:row>19</xdr:row>
      <xdr:rowOff>165100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5058582-6265-4BCE-AA75-4D65E67353AD}"/>
            </a:ext>
          </a:extLst>
        </xdr:cNvPr>
        <xdr:cNvSpPr txBox="1"/>
      </xdr:nvSpPr>
      <xdr:spPr>
        <a:xfrm>
          <a:off x="9861550" y="3289300"/>
          <a:ext cx="12065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Well Utilization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13</xdr:col>
      <xdr:colOff>190500</xdr:colOff>
      <xdr:row>11</xdr:row>
      <xdr:rowOff>120650</xdr:rowOff>
    </xdr:from>
    <xdr:to>
      <xdr:col>15</xdr:col>
      <xdr:colOff>69850</xdr:colOff>
      <xdr:row>13</xdr:row>
      <xdr:rowOff>0</xdr:rowOff>
    </xdr:to>
    <xdr:sp macro="" textlink="'Analysis 10'!J79">
      <xdr:nvSpPr>
        <xdr:cNvPr id="82" name="TextBox 81">
          <a:extLst>
            <a:ext uri="{FF2B5EF4-FFF2-40B4-BE49-F238E27FC236}">
              <a16:creationId xmlns:a16="http://schemas.microsoft.com/office/drawing/2014/main" id="{BF02C2F6-2D83-4019-8A43-081D7EB45475}"/>
            </a:ext>
          </a:extLst>
        </xdr:cNvPr>
        <xdr:cNvSpPr txBox="1"/>
      </xdr:nvSpPr>
      <xdr:spPr>
        <a:xfrm>
          <a:off x="8959850" y="2076450"/>
          <a:ext cx="12001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B1E46936-65B1-41F7-8E8B-F54F66594FA1}" type="TxLink">
            <a:rPr lang="en-US" sz="1100" b="1" i="0" u="none" strike="noStrike">
              <a:solidFill>
                <a:schemeClr val="accent1"/>
              </a:solidFill>
              <a:latin typeface="Arial"/>
              <a:cs typeface="Arial"/>
            </a:rPr>
            <a:t>27 Total Buses</a:t>
          </a:fld>
          <a:endParaRPr lang="ar-EG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15</xdr:col>
      <xdr:colOff>577850</xdr:colOff>
      <xdr:row>11</xdr:row>
      <xdr:rowOff>139700</xdr:rowOff>
    </xdr:from>
    <xdr:to>
      <xdr:col>17</xdr:col>
      <xdr:colOff>482600</xdr:colOff>
      <xdr:row>13</xdr:row>
      <xdr:rowOff>31750</xdr:rowOff>
    </xdr:to>
    <xdr:sp macro="" textlink="'Analysis 10'!J80">
      <xdr:nvSpPr>
        <xdr:cNvPr id="83" name="TextBox 82">
          <a:extLst>
            <a:ext uri="{FF2B5EF4-FFF2-40B4-BE49-F238E27FC236}">
              <a16:creationId xmlns:a16="http://schemas.microsoft.com/office/drawing/2014/main" id="{6174777C-8655-4037-8AC6-E69A6570A4B2}"/>
            </a:ext>
          </a:extLst>
        </xdr:cNvPr>
        <xdr:cNvSpPr txBox="1"/>
      </xdr:nvSpPr>
      <xdr:spPr>
        <a:xfrm>
          <a:off x="10668000" y="2095500"/>
          <a:ext cx="12255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1D44497E-AB2F-4882-A229-222E813D548C}" type="TxLink">
            <a:rPr lang="en-US" sz="1100" b="0" i="0" u="none" strike="noStrike">
              <a:solidFill>
                <a:schemeClr val="accent1"/>
              </a:solidFill>
              <a:latin typeface="Arial"/>
              <a:cs typeface="Arial"/>
            </a:rPr>
            <a:t>19 Total Buses</a:t>
          </a:fld>
          <a:endParaRPr lang="ar-EG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438150</xdr:colOff>
      <xdr:row>19</xdr:row>
      <xdr:rowOff>146050</xdr:rowOff>
    </xdr:from>
    <xdr:to>
      <xdr:col>16</xdr:col>
      <xdr:colOff>247650</xdr:colOff>
      <xdr:row>21</xdr:row>
      <xdr:rowOff>44450</xdr:rowOff>
    </xdr:to>
    <xdr:sp macro="" textlink="'Analysis 10'!J81">
      <xdr:nvSpPr>
        <xdr:cNvPr id="84" name="TextBox 83">
          <a:extLst>
            <a:ext uri="{FF2B5EF4-FFF2-40B4-BE49-F238E27FC236}">
              <a16:creationId xmlns:a16="http://schemas.microsoft.com/office/drawing/2014/main" id="{F2512F4D-2BFF-4EC1-AAE6-CC91B837EFCF}"/>
            </a:ext>
          </a:extLst>
        </xdr:cNvPr>
        <xdr:cNvSpPr txBox="1"/>
      </xdr:nvSpPr>
      <xdr:spPr>
        <a:xfrm>
          <a:off x="9867900" y="3524250"/>
          <a:ext cx="11303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9C73580A-DA00-43FC-84E8-5573B0965538}" type="TxLink">
            <a:rPr lang="en-US" sz="1100" b="0" i="0" u="none" strike="noStrike">
              <a:solidFill>
                <a:schemeClr val="accent1"/>
              </a:solidFill>
              <a:latin typeface="Arial"/>
              <a:cs typeface="Arial"/>
            </a:rPr>
            <a:t>36 Total Buses</a:t>
          </a:fld>
          <a:endParaRPr lang="ar-EG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400050</xdr:colOff>
      <xdr:row>3</xdr:row>
      <xdr:rowOff>31750</xdr:rowOff>
    </xdr:from>
    <xdr:to>
      <xdr:col>16</xdr:col>
      <xdr:colOff>0</xdr:colOff>
      <xdr:row>4</xdr:row>
      <xdr:rowOff>165100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27BF9507-F249-4CFE-AE91-F17DD0ED601D}"/>
            </a:ext>
          </a:extLst>
        </xdr:cNvPr>
        <xdr:cNvSpPr txBox="1"/>
      </xdr:nvSpPr>
      <xdr:spPr>
        <a:xfrm>
          <a:off x="9169400" y="565150"/>
          <a:ext cx="15811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Buses Utlization Rate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13</xdr:col>
      <xdr:colOff>190500</xdr:colOff>
      <xdr:row>3</xdr:row>
      <xdr:rowOff>101600</xdr:rowOff>
    </xdr:from>
    <xdr:to>
      <xdr:col>13</xdr:col>
      <xdr:colOff>374650</xdr:colOff>
      <xdr:row>4</xdr:row>
      <xdr:rowOff>69850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12E3F1E6-E74B-4704-A707-F7C14234A934}"/>
            </a:ext>
          </a:extLst>
        </xdr:cNvPr>
        <xdr:cNvSpPr/>
      </xdr:nvSpPr>
      <xdr:spPr>
        <a:xfrm>
          <a:off x="8959850" y="63500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13</xdr:col>
      <xdr:colOff>6350</xdr:colOff>
      <xdr:row>22</xdr:row>
      <xdr:rowOff>0</xdr:rowOff>
    </xdr:from>
    <xdr:to>
      <xdr:col>17</xdr:col>
      <xdr:colOff>463550</xdr:colOff>
      <xdr:row>22</xdr:row>
      <xdr:rowOff>45719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CB2EC216-2BA7-4727-A5FA-D8AB469D7B8B}"/>
            </a:ext>
          </a:extLst>
        </xdr:cNvPr>
        <xdr:cNvSpPr/>
      </xdr:nvSpPr>
      <xdr:spPr>
        <a:xfrm>
          <a:off x="8775700" y="3911600"/>
          <a:ext cx="3098800" cy="45719"/>
        </a:xfrm>
        <a:prstGeom prst="rect">
          <a:avLst/>
        </a:prstGeom>
        <a:gradFill flip="none" rotWithShape="0">
          <a:gsLst>
            <a:gs pos="0">
              <a:schemeClr val="bg2">
                <a:lumMod val="10000"/>
              </a:schemeClr>
            </a:gs>
            <a:gs pos="100000">
              <a:schemeClr val="bg2">
                <a:lumMod val="10000"/>
              </a:schemeClr>
            </a:gs>
            <a:gs pos="50000">
              <a:schemeClr val="bg2">
                <a:lumMod val="25000"/>
              </a:schemeClr>
            </a:gs>
            <a:gs pos="0">
              <a:schemeClr val="tx1">
                <a:lumMod val="100000"/>
              </a:schemeClr>
            </a:gs>
          </a:gsLst>
          <a:lin ang="0" scaled="0"/>
          <a:tileRect/>
        </a:gradFill>
        <a:ln w="127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13</xdr:col>
      <xdr:colOff>393700</xdr:colOff>
      <xdr:row>22</xdr:row>
      <xdr:rowOff>120650</xdr:rowOff>
    </xdr:from>
    <xdr:to>
      <xdr:col>17</xdr:col>
      <xdr:colOff>355600</xdr:colOff>
      <xdr:row>24</xdr:row>
      <xdr:rowOff>76200</xdr:rowOff>
    </xdr:to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B8BEB7B-ACD0-4A38-A4FC-1984F9F4315E}"/>
            </a:ext>
          </a:extLst>
        </xdr:cNvPr>
        <xdr:cNvSpPr txBox="1"/>
      </xdr:nvSpPr>
      <xdr:spPr>
        <a:xfrm>
          <a:off x="9163050" y="4032250"/>
          <a:ext cx="260350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Total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Riders based on moment of trip </a:t>
          </a:r>
          <a:endParaRPr lang="ar-EG" sz="12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13</xdr:col>
      <xdr:colOff>196850</xdr:colOff>
      <xdr:row>23</xdr:row>
      <xdr:rowOff>25400</xdr:rowOff>
    </xdr:from>
    <xdr:to>
      <xdr:col>13</xdr:col>
      <xdr:colOff>381000</xdr:colOff>
      <xdr:row>23</xdr:row>
      <xdr:rowOff>171450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E582C4F5-09A8-48AA-9D2E-6BB69AABF143}"/>
            </a:ext>
          </a:extLst>
        </xdr:cNvPr>
        <xdr:cNvSpPr/>
      </xdr:nvSpPr>
      <xdr:spPr>
        <a:xfrm>
          <a:off x="8966200" y="4114800"/>
          <a:ext cx="184150" cy="14605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13</xdr:col>
      <xdr:colOff>165100</xdr:colOff>
      <xdr:row>25</xdr:row>
      <xdr:rowOff>69850</xdr:rowOff>
    </xdr:from>
    <xdr:to>
      <xdr:col>13</xdr:col>
      <xdr:colOff>571500</xdr:colOff>
      <xdr:row>27</xdr:row>
      <xdr:rowOff>133350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DE437211-C59D-4965-9A8C-E1A8E2DA1EFF}"/>
            </a:ext>
          </a:extLst>
        </xdr:cNvPr>
        <xdr:cNvSpPr/>
      </xdr:nvSpPr>
      <xdr:spPr>
        <a:xfrm>
          <a:off x="8934450" y="4514850"/>
          <a:ext cx="406400" cy="41910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13</xdr:col>
      <xdr:colOff>165100</xdr:colOff>
      <xdr:row>29</xdr:row>
      <xdr:rowOff>88900</xdr:rowOff>
    </xdr:from>
    <xdr:to>
      <xdr:col>13</xdr:col>
      <xdr:colOff>565150</xdr:colOff>
      <xdr:row>31</xdr:row>
      <xdr:rowOff>120650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8AD65DC3-9014-4183-03B5-B8FC8B68F5FD}"/>
            </a:ext>
          </a:extLst>
        </xdr:cNvPr>
        <xdr:cNvSpPr/>
      </xdr:nvSpPr>
      <xdr:spPr>
        <a:xfrm>
          <a:off x="8934450" y="5245100"/>
          <a:ext cx="400050" cy="38735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 editAs="oneCell">
    <xdr:from>
      <xdr:col>13</xdr:col>
      <xdr:colOff>186232</xdr:colOff>
      <xdr:row>25</xdr:row>
      <xdr:rowOff>127001</xdr:rowOff>
    </xdr:from>
    <xdr:to>
      <xdr:col>13</xdr:col>
      <xdr:colOff>557865</xdr:colOff>
      <xdr:row>27</xdr:row>
      <xdr:rowOff>95251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125353ED-B427-478C-A03A-6042F6611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5582" y="4572001"/>
          <a:ext cx="371633" cy="323850"/>
        </a:xfrm>
        <a:prstGeom prst="rect">
          <a:avLst/>
        </a:prstGeom>
        <a:noFill/>
      </xdr:spPr>
    </xdr:pic>
    <xdr:clientData/>
  </xdr:twoCellAnchor>
  <xdr:twoCellAnchor editAs="oneCell">
    <xdr:from>
      <xdr:col>13</xdr:col>
      <xdr:colOff>171450</xdr:colOff>
      <xdr:row>29</xdr:row>
      <xdr:rowOff>95250</xdr:rowOff>
    </xdr:from>
    <xdr:to>
      <xdr:col>13</xdr:col>
      <xdr:colOff>533400</xdr:colOff>
      <xdr:row>31</xdr:row>
      <xdr:rowOff>101600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F21C4DF6-82C9-4D3B-AA83-8BDEB0CD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940800" y="5251450"/>
          <a:ext cx="361950" cy="361950"/>
        </a:xfrm>
        <a:prstGeom prst="rect">
          <a:avLst/>
        </a:prstGeom>
      </xdr:spPr>
    </xdr:pic>
    <xdr:clientData/>
  </xdr:twoCellAnchor>
  <xdr:twoCellAnchor>
    <xdr:from>
      <xdr:col>13</xdr:col>
      <xdr:colOff>635000</xdr:colOff>
      <xdr:row>25</xdr:row>
      <xdr:rowOff>12700</xdr:rowOff>
    </xdr:from>
    <xdr:to>
      <xdr:col>16</xdr:col>
      <xdr:colOff>234950</xdr:colOff>
      <xdr:row>26</xdr:row>
      <xdr:rowOff>146050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1BC118BF-4EC1-459B-BDE1-AC7B0B54BBB2}"/>
            </a:ext>
          </a:extLst>
        </xdr:cNvPr>
        <xdr:cNvSpPr txBox="1"/>
      </xdr:nvSpPr>
      <xdr:spPr>
        <a:xfrm>
          <a:off x="9404350" y="4457700"/>
          <a:ext cx="15811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bg1">
                  <a:lumMod val="85000"/>
                </a:schemeClr>
              </a:solidFill>
            </a:rPr>
            <a:t>Total Riders by</a:t>
          </a:r>
          <a:r>
            <a:rPr lang="en-US" sz="1200" b="1" baseline="0">
              <a:solidFill>
                <a:schemeClr val="bg1">
                  <a:lumMod val="85000"/>
                </a:schemeClr>
              </a:solidFill>
            </a:rPr>
            <a:t> </a:t>
          </a:r>
          <a:r>
            <a:rPr lang="en-US" sz="1200" b="1" baseline="0">
              <a:solidFill>
                <a:schemeClr val="accent1"/>
              </a:solidFill>
            </a:rPr>
            <a:t>AM</a:t>
          </a:r>
          <a:endParaRPr lang="ar-EG" sz="12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13</xdr:col>
      <xdr:colOff>647700</xdr:colOff>
      <xdr:row>29</xdr:row>
      <xdr:rowOff>38100</xdr:rowOff>
    </xdr:from>
    <xdr:to>
      <xdr:col>16</xdr:col>
      <xdr:colOff>247650</xdr:colOff>
      <xdr:row>30</xdr:row>
      <xdr:rowOff>171450</xdr:rowOff>
    </xdr:to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E8D27DE5-C318-4B78-8E0F-61613956FB97}"/>
            </a:ext>
          </a:extLst>
        </xdr:cNvPr>
        <xdr:cNvSpPr txBox="1"/>
      </xdr:nvSpPr>
      <xdr:spPr>
        <a:xfrm>
          <a:off x="9417050" y="5194300"/>
          <a:ext cx="15811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 sz="1200" b="1">
              <a:solidFill>
                <a:schemeClr val="accent1"/>
              </a:solidFill>
            </a:rPr>
            <a:t>Total</a:t>
          </a:r>
          <a:r>
            <a:rPr lang="en-US" sz="1200" b="1" baseline="0">
              <a:solidFill>
                <a:schemeClr val="accent1"/>
              </a:solidFill>
            </a:rPr>
            <a:t> Riders by </a:t>
          </a:r>
          <a:r>
            <a:rPr lang="en-US" sz="1200" b="1" baseline="0">
              <a:solidFill>
                <a:schemeClr val="bg1">
                  <a:lumMod val="50000"/>
                </a:schemeClr>
              </a:solidFill>
            </a:rPr>
            <a:t>PM</a:t>
          </a:r>
          <a:endParaRPr lang="ar-EG" sz="12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184150</xdr:colOff>
      <xdr:row>26</xdr:row>
      <xdr:rowOff>69850</xdr:rowOff>
    </xdr:from>
    <xdr:to>
      <xdr:col>15</xdr:col>
      <xdr:colOff>469900</xdr:colOff>
      <xdr:row>28</xdr:row>
      <xdr:rowOff>25400</xdr:rowOff>
    </xdr:to>
    <xdr:sp macro="" textlink="'Analysis 10'!$M$77">
      <xdr:nvSpPr>
        <xdr:cNvPr id="99" name="TextBox 98">
          <a:extLst>
            <a:ext uri="{FF2B5EF4-FFF2-40B4-BE49-F238E27FC236}">
              <a16:creationId xmlns:a16="http://schemas.microsoft.com/office/drawing/2014/main" id="{DD6A4CCA-353C-4295-B072-EB51B371389B}"/>
            </a:ext>
          </a:extLst>
        </xdr:cNvPr>
        <xdr:cNvSpPr txBox="1"/>
      </xdr:nvSpPr>
      <xdr:spPr>
        <a:xfrm>
          <a:off x="9613900" y="4692650"/>
          <a:ext cx="9461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2F2AD762-953E-4398-9689-2E9CE47D7F0C}" type="TxLink">
            <a:rPr lang="en-US" sz="1400" b="0" i="0" u="none" strike="noStrike">
              <a:solidFill>
                <a:schemeClr val="accent1"/>
              </a:solidFill>
              <a:latin typeface="Aptos Black" panose="020B0004020202020204" pitchFamily="34" charset="0"/>
              <a:cs typeface="Arial"/>
            </a:rPr>
            <a:t>35.39%</a:t>
          </a:fld>
          <a:endParaRPr lang="ar-EG" sz="1600" b="1">
            <a:solidFill>
              <a:schemeClr val="accent1"/>
            </a:solidFill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14</xdr:col>
      <xdr:colOff>203200</xdr:colOff>
      <xdr:row>30</xdr:row>
      <xdr:rowOff>95250</xdr:rowOff>
    </xdr:from>
    <xdr:to>
      <xdr:col>15</xdr:col>
      <xdr:colOff>488950</xdr:colOff>
      <xdr:row>32</xdr:row>
      <xdr:rowOff>50800</xdr:rowOff>
    </xdr:to>
    <xdr:sp macro="" textlink="'Analysis 10'!$M$78">
      <xdr:nvSpPr>
        <xdr:cNvPr id="100" name="TextBox 99">
          <a:extLst>
            <a:ext uri="{FF2B5EF4-FFF2-40B4-BE49-F238E27FC236}">
              <a16:creationId xmlns:a16="http://schemas.microsoft.com/office/drawing/2014/main" id="{A60DA4F7-1A9D-42C1-8852-D58232256CD8}"/>
            </a:ext>
          </a:extLst>
        </xdr:cNvPr>
        <xdr:cNvSpPr txBox="1"/>
      </xdr:nvSpPr>
      <xdr:spPr>
        <a:xfrm>
          <a:off x="9632950" y="5429250"/>
          <a:ext cx="946150" cy="311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3C9CE252-8971-488B-813F-D09528F47666}" type="TxLink">
            <a:rPr lang="en-US" sz="1400" b="0" i="0" u="none" strike="noStrike">
              <a:solidFill>
                <a:schemeClr val="bg1">
                  <a:lumMod val="50000"/>
                </a:schemeClr>
              </a:solidFill>
              <a:latin typeface="Aptos Black" panose="020B0004020202020204" pitchFamily="34" charset="0"/>
              <a:cs typeface="Arial"/>
            </a:rPr>
            <a:t>64.61%</a:t>
          </a:fld>
          <a:endParaRPr lang="ar-EG" sz="2000" b="1">
            <a:solidFill>
              <a:schemeClr val="bg1">
                <a:lumMod val="50000"/>
              </a:schemeClr>
            </a:solidFill>
            <a:latin typeface="Aptos Black" panose="020B0004020202020204" pitchFamily="34" charset="0"/>
          </a:endParaRP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1527779" backgroundQuery="1" createdVersion="8" refreshedVersion="8" minRefreshableVersion="3" recordCount="0" supportSubquery="1" supportAdvancedDrill="1" xr:uid="{62A8F6E3-CE25-473D-BA89-535FBFE3A459}">
  <cacheSource type="external" connectionId="7"/>
  <cacheFields count="2">
    <cacheField name="[Measures].[Total Riders(Passenger)]" caption="Total Riders(Passenger)" numFmtId="0" hierarchy="42" level="32767"/>
    <cacheField name="[Dim_Calender].[Day Name].[Day Name]" caption="Day Name" numFmtId="0" hierarchy="9" level="1">
      <sharedItems count="7">
        <s v="Sun"/>
        <s v="Mon"/>
        <s v="Tue"/>
        <s v="Wed"/>
        <s v="Thu"/>
        <s v="Fri"/>
        <s v="Sat"/>
      </sharedItems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2" memberValueDatatype="130" unbalanced="0">
      <fieldsUsage count="2">
        <fieldUsage x="-1"/>
        <fieldUsage x="1"/>
      </fieldsUsage>
    </cacheHierarchy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2569441" backgroundQuery="1" createdVersion="8" refreshedVersion="8" minRefreshableVersion="3" recordCount="0" supportSubquery="1" supportAdvancedDrill="1" xr:uid="{1D9873A1-0D2F-44A3-BC6A-39DC169FF55E}">
  <cacheSource type="external" connectionId="7"/>
  <cacheFields count="2">
    <cacheField name="[Measures].[Total Riders(Passenger)]" caption="Total Riders(Passenger)" numFmtId="0" hierarchy="42" level="32767"/>
    <cacheField name="[Dim_Calender].[Year].[Year]" caption="Year" numFmtId="0" hierarchy="6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m_Calender].[Year].&amp;[2023]"/>
            <x15:cachedUniqueName index="1" name="[Dim_Calender].[Year].&amp;[2024]"/>
          </x15:cachedUniqueNames>
        </ext>
      </extLst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2" memberValueDatatype="20" unbalanced="0">
      <fieldsUsage count="2">
        <fieldUsage x="-1"/>
        <fieldUsage x="1"/>
      </fieldsUsage>
    </cacheHierarchy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3958334" backgroundQuery="1" createdVersion="8" refreshedVersion="8" minRefreshableVersion="3" recordCount="0" supportSubquery="1" supportAdvancedDrill="1" xr:uid="{EB0E6F65-0C77-4D86-A39D-971DDEA2C0AA}">
  <cacheSource type="external" connectionId="7"/>
  <cacheFields count="6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ategory].[Time Gategory]" caption="Time Gategory" numFmtId="0" hierarchy="34" level="1">
      <sharedItems count="3">
        <s v="10:00 AM to 3:00 PM"/>
        <s v="12:00 AM to 5:00 AM"/>
        <s v="5:00 AM to 10:00 AM"/>
      </sharedItems>
    </cacheField>
    <cacheField name="[Facttable_ridership].[Time].[Time]" caption="Time" numFmtId="0" hierarchy="28" level="1">
      <sharedItems containsSemiMixedTypes="0" containsNonDate="0" containsDate="1" containsString="0" minDate="1899-12-30T11:41:00" maxDate="1899-12-30T11:41:00" count="1">
        <d v="1899-12-30T11:41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1:41:00]"/>
          </x15:cachedUniqueNames>
        </ext>
      </extLst>
    </cacheField>
    <cacheField name="[Facttable_ridership].[Date (Year)].[Date (Year)]" caption="Date (Year)" numFmtId="0" hierarchy="37" level="1">
      <sharedItems count="2">
        <s v="2023"/>
        <s v="2024"/>
      </sharedItems>
    </cacheField>
    <cacheField name="Unsupported0" numFmtId="0" hierarchy="5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55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2" memberValueDatatype="130" unbalanced="0">
      <fieldsUsage count="2">
        <fieldUsage x="-1"/>
        <fieldUsage x="4"/>
      </fieldsUsage>
    </cacheHierarchy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  <cacheHierarchy uniqueName="Unsupported0" caption="Column1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5462966" backgroundQuery="1" createdVersion="8" refreshedVersion="8" minRefreshableVersion="3" recordCount="0" supportSubquery="1" supportAdvancedDrill="1" xr:uid="{E9C72FFB-BB6E-4CB4-8259-AEFDAE9CA606}">
  <cacheSource type="external" connectionId="7"/>
  <cacheFields count="5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ategory].[Time Gategory]" caption="Time Gategory" numFmtId="0" hierarchy="34" level="1">
      <sharedItems count="3">
        <s v="10:00 AM to 3:00 PM"/>
        <s v="12:00 AM to 5:00 AM"/>
        <s v="5:00 AM to 10:00 AM"/>
      </sharedItems>
    </cacheField>
    <cacheField name="[Facttable_ridership].[Time].[Time]" caption="Time" numFmtId="0" hierarchy="28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  <cacheField name="[Facttable_ridership].[Date (Year)].[Date (Year)]" caption="Date (Year)" numFmtId="0" hierarchy="37" level="1">
      <sharedItems count="2">
        <s v="2023"/>
        <s v="2024"/>
      </sharedItems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2" memberValueDatatype="130" unbalanced="0">
      <fieldsUsage count="2">
        <fieldUsage x="-1"/>
        <fieldUsage x="4"/>
      </fieldsUsage>
    </cacheHierarchy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6736113" backgroundQuery="1" createdVersion="8" refreshedVersion="8" minRefreshableVersion="3" recordCount="0" supportSubquery="1" supportAdvancedDrill="1" xr:uid="{5ED2854B-C911-4C2D-A0BB-FDE3B6FAE653}">
  <cacheSource type="external" connectionId="7"/>
  <cacheFields count="4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ategory].[Time Gategory]" caption="Time Gategory" numFmtId="0" hierarchy="34" level="1">
      <sharedItems count="3">
        <s v="10:00 AM to 3:00 PM"/>
        <s v="12:00 AM to 5:00 AM"/>
        <s v="5:00 AM to 10:00 AM"/>
      </sharedItems>
    </cacheField>
    <cacheField name="[Facttable_ridership].[Time].[Time]" caption="Time" numFmtId="0" hierarchy="28" level="1">
      <sharedItems containsSemiMixedTypes="0" containsNonDate="0" containsDate="1" containsString="0" minDate="1899-12-30T12:34:00" maxDate="1899-12-30T12:34:00" count="1">
        <d v="1899-12-30T12:34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2:34:00]"/>
          </x15:cachedUniqueNames>
        </ext>
      </extLst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8240737" backgroundQuery="1" createdVersion="8" refreshedVersion="8" minRefreshableVersion="3" recordCount="0" supportSubquery="1" supportAdvancedDrill="1" xr:uid="{DE8DBD71-6025-47D1-AD93-4A3E4837DB59}">
  <cacheSource type="external" connectionId="7"/>
  <cacheFields count="4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ategory].[Time Gategory]" caption="Time Gategory" numFmtId="0" hierarchy="34" level="1">
      <sharedItems count="3">
        <s v="10:00 AM to 3:00 PM"/>
        <s v="12:00 AM to 5:00 AM"/>
        <s v="5:00 AM to 10:00 AM"/>
      </sharedItems>
    </cacheField>
    <cacheField name="[Facttable_ridership].[Time].[Time]" caption="Time" numFmtId="0" hierarchy="28" level="1">
      <sharedItems containsSemiMixedTypes="0" containsNonDate="0" containsDate="1" containsString="0" minDate="1899-12-30T11:41:00" maxDate="1899-12-30T11:41:00" count="1">
        <d v="1899-12-30T11:41:00"/>
      </sharedItems>
      <extLst>
        <ext xmlns:x15="http://schemas.microsoft.com/office/spreadsheetml/2010/11/main" uri="{4F2E5C28-24EA-4eb8-9CBF-B6C8F9C3D259}">
          <x15:cachedUniqueNames>
            <x15:cachedUniqueName index="0" name="[Facttable_ridership].[Time].&amp;[1899-12-30T11:41:00]"/>
          </x15:cachedUniqueNames>
        </ext>
      </extLst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2" memberValueDatatype="7" unbalanced="0">
      <fieldsUsage count="2">
        <fieldUsage x="-1"/>
        <fieldUsage x="3"/>
      </fieldsUsage>
    </cacheHierarchy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29745369" backgroundQuery="1" createdVersion="8" refreshedVersion="8" minRefreshableVersion="3" recordCount="0" supportSubquery="1" supportAdvancedDrill="1" xr:uid="{2A36897B-225C-4277-8AEA-4E2D19B8E2B3}">
  <cacheSource type="external" connectionId="7"/>
  <cacheFields count="3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East-West Express"/>
      </sharedItems>
    </cacheField>
    <cacheField name="[Facttable_ridership].[Time Gategory].[Time Gategory]" caption="Time Gategory" numFmtId="0" hierarchy="34" level="1">
      <sharedItems count="3">
        <s v="10:00 AM to 3:00 PM"/>
        <s v="12:00 AM to 5:00 AM"/>
        <s v="5:00 AM to 10:00 AM"/>
      </sharedItems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2" memberValueDatatype="130" unbalanced="0">
      <fieldsUsage count="2">
        <fieldUsage x="-1"/>
        <fieldUsage x="2"/>
      </fieldsUsage>
    </cacheHierarchy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30902777" backgroundQuery="1" createdVersion="8" refreshedVersion="8" minRefreshableVersion="3" recordCount="0" supportSubquery="1" supportAdvancedDrill="1" xr:uid="{6330B816-D252-4397-A0E2-9A1140B6217B}">
  <cacheSource type="external" connectionId="7"/>
  <cacheFields count="1">
    <cacheField name="[Measures].[Total Riders(Passenger)]" caption="Total Riders(Passenger)" numFmtId="0" hierarchy="42" level="32767"/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31828701" backgroundQuery="1" createdVersion="8" refreshedVersion="8" minRefreshableVersion="3" recordCount="0" supportSubquery="1" supportAdvancedDrill="1" xr:uid="{BD37FF55-CA68-46BE-8629-C4DB0E0ADEFF}">
  <cacheSource type="external" connectionId="7"/>
  <cacheFields count="1">
    <cacheField name="[Measures].[Avg Riders per Trip]" caption="Avg Riders per Trip" numFmtId="0" hierarchy="44" level="32767"/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/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 oneField="1">
      <fieldsUsage count="1">
        <fieldUsage x="0"/>
      </fieldsUsage>
    </cacheHierarchy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3298611" backgroundQuery="1" createdVersion="8" refreshedVersion="8" minRefreshableVersion="3" recordCount="0" supportSubquery="1" supportAdvancedDrill="1" xr:uid="{DB0CF859-2EDC-4EBD-92A7-44CF0C8B096D}">
  <cacheSource type="external" connectionId="7"/>
  <cacheFields count="2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East-West Express"/>
      </sharedItems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34143518" backgroundQuery="1" createdVersion="8" refreshedVersion="8" minRefreshableVersion="3" recordCount="0" supportSubquery="1" supportAdvancedDrill="1" xr:uid="{3BB13568-A371-4882-A6BD-F425EF21B349}">
  <cacheSource type="external" connectionId="7"/>
  <cacheFields count="2">
    <cacheField name="[Measures].[Total Riders(Passenger)]" caption="Total Riders(Passenger)" numFmtId="0" hierarchy="42" level="32767"/>
    <cacheField name="[Dim_routes].[RouteName].[RouteName]" caption="RouteName" numFmtId="0" hierarchy="18" level="1">
      <sharedItems count="1">
        <s v="South Line"/>
      </sharedItems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2" memberValueDatatype="130" unbalanced="0">
      <fieldsUsage count="2">
        <fieldUsage x="-1"/>
        <fieldUsage x="1"/>
      </fieldsUsage>
    </cacheHierarchy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35416665" backgroundQuery="1" createdVersion="8" refreshedVersion="8" minRefreshableVersion="3" recordCount="0" supportSubquery="1" supportAdvancedDrill="1" xr:uid="{D1E07D07-BAA7-4670-B57D-3226C5E23A47}">
  <cacheSource type="external" connectionId="7"/>
  <cacheFields count="2">
    <cacheField name="[Measures].[Total Riders(Passenger)]" caption="Total Riders(Passenger)" numFmtId="0" hierarchy="42" level="32767"/>
    <cacheField name="[Dim_Calender].[Month Name].[Month Name]" caption="Month Name" numFmtId="0" hierarchy="8" level="1">
      <sharedItems count="2">
        <s v="Jan"/>
        <s v="Dec"/>
      </sharedItems>
    </cacheField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2" memberValueDatatype="130" unbalanced="0">
      <fieldsUsage count="2">
        <fieldUsage x="-1"/>
        <fieldUsage x="1"/>
      </fieldsUsage>
    </cacheHierarchy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0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47736805558" backgroundQuery="1" createdVersion="8" refreshedVersion="8" minRefreshableVersion="3" recordCount="0" supportSubquery="1" supportAdvancedDrill="1" xr:uid="{59B0D556-50C2-40E7-A5D1-6A7BB926AEDE}">
  <cacheSource type="external" connectionId="7"/>
  <cacheFields count="2">
    <cacheField name="[Facttable_ridership].[Bus Utilization Category].[Bus Utilization Category]" caption="Bus Utilization Category" numFmtId="0" hierarchy="33" level="1">
      <sharedItems count="3">
        <s v="over_utilization"/>
        <s v="under_utilization"/>
        <s v="well_utilization"/>
      </sharedItems>
    </cacheField>
    <cacheField name="[Measures].[Total Buses]" caption="Total Buses" numFmtId="0" hierarchy="46" level="32767"/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0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0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0" memberValueDatatype="130" unbalanced="0"/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2" memberValueDatatype="130" unbalanced="0">
      <fieldsUsage count="2">
        <fieldUsage x="-1"/>
        <fieldUsage x="0"/>
      </fieldsUsage>
    </cacheHierarchy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/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 oneField="1">
      <fieldsUsage count="1">
        <fieldUsage x="1"/>
      </fieldsUsage>
    </cacheHierarchy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ad Elkhodary" refreshedDate="45980.576009143515" backgroundQuery="1" createdVersion="8" refreshedVersion="8" minRefreshableVersion="3" recordCount="0" supportSubquery="1" supportAdvancedDrill="1" xr:uid="{D8F85186-7B8B-4728-A64E-119400066AE1}">
  <cacheSource type="external" connectionId="7"/>
  <cacheFields count="2">
    <cacheField name="[Facttable_ridership].[Moment].[Moment]" caption="Moment" numFmtId="0" hierarchy="30" level="1">
      <sharedItems count="2">
        <s v="AM"/>
        <s v="PM"/>
      </sharedItems>
    </cacheField>
    <cacheField name="[Measures].[Total Riders(Passenger)]" caption="Total Riders(Passenger)" numFmtId="0" hierarchy="42" level="32767"/>
  </cacheFields>
  <cacheHierarchies count="54">
    <cacheHierarchy uniqueName="[calculations].[Column1]" caption="Column1" attribute="1" defaultMemberUniqueName="[calculations].[Column1].[All]" allUniqueName="[calculations].[Column1].[All]" dimensionUniqueName="[calculations]" displayFolder="" count="0" memberValueDatatype="20" unbalanced="0"/>
    <cacheHierarchy uniqueName="[Dim_buses].[BusID]" caption="BusID" attribute="1" defaultMemberUniqueName="[Dim_buses].[BusID].[All]" allUniqueName="[Dim_buses].[BusID].[All]" dimensionUniqueName="[Dim_buses]" displayFolder="" count="0" memberValueDatatype="20" unbalanced="0"/>
    <cacheHierarchy uniqueName="[Dim_buses].[RouteID]" caption="RouteID" attribute="1" defaultMemberUniqueName="[Dim_buses].[RouteID].[All]" allUniqueName="[Dim_buses].[RouteID].[All]" dimensionUniqueName="[Dim_buses]" displayFolder="" count="0" memberValueDatatype="20" unbalanced="0"/>
    <cacheHierarchy uniqueName="[Dim_buses].[BusNumber]" caption="BusNumber" attribute="1" defaultMemberUniqueName="[Dim_buses].[BusNumber].[All]" allUniqueName="[Dim_buses].[BusNumber].[All]" dimensionUniqueName="[Dim_buses]" displayFolder="" count="0" memberValueDatatype="130" unbalanced="0"/>
    <cacheHierarchy uniqueName="[Dim_buses].[Capacity]" caption="Capacity" attribute="1" defaultMemberUniqueName="[Dim_buses].[Capacity].[All]" allUniqueName="[Dim_buses].[Capacity].[All]" dimensionUniqueName="[Dim_buses]" displayFolder="" count="0" memberValueDatatype="20" unbalanced="0"/>
    <cacheHierarchy uniqueName="[Dim_Calender].[Date]" caption="Date" attribute="1" time="1" defaultMemberUniqueName="[Dim_Calender].[Date].[All]" allUniqueName="[Dim_Calender].[Date].[All]" dimensionUniqueName="[Dim_Calender]" displayFolder="" count="0" memberValueDatatype="7" unbalanced="0"/>
    <cacheHierarchy uniqueName="[Dim_Calender].[Year]" caption="Year" attribute="1" defaultMemberUniqueName="[Dim_Calender].[Year].[All]" allUniqueName="[Dim_Calender].[Year].[All]" dimensionUniqueName="[Dim_Calender]" displayFolder="" count="0" memberValueDatatype="20" unbalanced="0"/>
    <cacheHierarchy uniqueName="[Dim_Calender].[Month]" caption="Month" attribute="1" defaultMemberUniqueName="[Dim_Calender].[Month].[All]" allUniqueName="[Dim_Calender].[Month].[All]" dimensionUniqueName="[Dim_Calender]" displayFolder="" count="0" memberValueDatatype="20" unbalanced="0"/>
    <cacheHierarchy uniqueName="[Dim_Calender].[Month Name]" caption="Month Name" attribute="1" defaultMemberUniqueName="[Dim_Calender].[Month Name].[All]" allUniqueName="[Dim_Calender].[Month Name].[All]" dimensionUniqueName="[Dim_Calender]" displayFolder="" count="2" memberValueDatatype="130" unbalanced="0"/>
    <cacheHierarchy uniqueName="[Dim_Calender].[Day Name]" caption="Day Name" attribute="1" defaultMemberUniqueName="[Dim_Calender].[Day Name].[All]" allUniqueName="[Dim_Calender].[Day Name].[All]" dimensionUniqueName="[Dim_Calender]" displayFolder="" count="0" memberValueDatatype="130" unbalanced="0"/>
    <cacheHierarchy uniqueName="[Dim_Calender].[Day of Week]" caption="Day of Week" attribute="1" defaultMemberUniqueName="[Dim_Calender].[Day of Week].[All]" allUniqueName="[Dim_Calender].[Day of Week].[All]" dimensionUniqueName="[Dim_Calender]" displayFolder="" count="0" memberValueDatatype="20" unbalanced="0"/>
    <cacheHierarchy uniqueName="[Dim_Calender].[Custom]" caption="Custom" attribute="1" defaultMemberUniqueName="[Dim_Calender].[Custom].[All]" allUniqueName="[Dim_Calender].[Custom].[All]" dimensionUniqueName="[Dim_Calender]" displayFolder="" count="2" memberValueDatatype="130" unbalanced="0"/>
    <cacheHierarchy uniqueName="[Dim_demographics].[RiderID]" caption="RiderID" attribute="1" defaultMemberUniqueName="[Dim_demographics].[RiderID].[All]" allUniqueName="[Dim_demographics].[RiderID].[All]" dimensionUniqueName="[Dim_demographics]" displayFolder="" count="0" memberValueDatatype="20" unbalanced="0"/>
    <cacheHierarchy uniqueName="[Dim_demographics].[Age]" caption="Age" attribute="1" defaultMemberUniqueName="[Dim_demographics].[Age].[All]" allUniqueName="[Dim_demographics].[Age].[All]" dimensionUniqueName="[Dim_demographics]" displayFolder="" count="0" memberValueDatatype="20" unbalanced="0"/>
    <cacheHierarchy uniqueName="[Dim_demographics].[Gender]" caption="Gender" attribute="1" defaultMemberUniqueName="[Dim_demographics].[Gender].[All]" allUniqueName="[Dim_demographics].[Gender].[All]" dimensionUniqueName="[Dim_demographics]" displayFolder="" count="0" memberValueDatatype="130" unbalanced="0"/>
    <cacheHierarchy uniqueName="[Dim_demographics].[Occupation]" caption="Occupation" attribute="1" defaultMemberUniqueName="[Dim_demographics].[Occupation].[All]" allUniqueName="[Dim_demographics].[Occupation].[All]" dimensionUniqueName="[Dim_demographics]" displayFolder="" count="0" memberValueDatatype="130" unbalanced="0"/>
    <cacheHierarchy uniqueName="[Dim_demographics].[Age Category]" caption="Age Category" attribute="1" defaultMemberUniqueName="[Dim_demographics].[Age Category].[All]" allUniqueName="[Dim_demographics].[Age Category].[All]" dimensionUniqueName="[Dim_demographics]" displayFolder="" count="0" memberValueDatatype="130" unbalanced="0"/>
    <cacheHierarchy uniqueName="[Dim_routes].[RouteID]" caption="RouteID" attribute="1" defaultMemberUniqueName="[Dim_routes].[RouteID].[All]" allUniqueName="[Dim_routes].[RouteID].[All]" dimensionUniqueName="[Dim_routes]" displayFolder="" count="0" memberValueDatatype="20" unbalanced="0"/>
    <cacheHierarchy uniqueName="[Dim_routes].[RouteName]" caption="RouteName" attribute="1" defaultMemberUniqueName="[Dim_routes].[RouteName].[All]" allUniqueName="[Dim_routes].[RouteName].[All]" dimensionUniqueName="[Dim_routes]" displayFolder="" count="0" memberValueDatatype="130" unbalanced="0"/>
    <cacheHierarchy uniqueName="[Dim_routes].[StartLocation]" caption="StartLocation" attribute="1" defaultMemberUniqueName="[Dim_routes].[StartLocation].[All]" allUniqueName="[Dim_routes].[StartLocation].[All]" dimensionUniqueName="[Dim_routes]" displayFolder="" count="0" memberValueDatatype="130" unbalanced="0"/>
    <cacheHierarchy uniqueName="[Dim_routes].[EndLocation]" caption="EndLocation" attribute="1" defaultMemberUniqueName="[Dim_routes].[EndLocation].[All]" allUniqueName="[Dim_routes].[EndLocation].[All]" dimensionUniqueName="[Dim_routes]" displayFolder="" count="0" memberValueDatatype="130" unbalanced="0"/>
    <cacheHierarchy uniqueName="[Dim_routes].[TripFee]" caption="TripFee" attribute="1" defaultMemberUniqueName="[Dim_routes].[TripFee].[All]" allUniqueName="[Dim_routes].[TripFee].[All]" dimensionUniqueName="[Dim_routes]" displayFolder="" count="0" memberValueDatatype="6" unbalanced="0"/>
    <cacheHierarchy uniqueName="[Dim_routes].[TakeOffTime]" caption="TakeOffTime" attribute="1" time="1" defaultMemberUniqueName="[Dim_routes].[TakeOffTime].[All]" allUniqueName="[Dim_routes].[TakeOffTime].[All]" dimensionUniqueName="[Dim_routes]" displayFolder="" count="0" memberValueDatatype="7" unbalanced="0"/>
    <cacheHierarchy uniqueName="[Dim_routes].[ArrivalTime]" caption="ArrivalTime" attribute="1" time="1" defaultMemberUniqueName="[Dim_routes].[ArrivalTime].[All]" allUniqueName="[Dim_routes].[ArrivalTime].[All]" dimensionUniqueName="[Dim_routes]" displayFolder="" count="0" memberValueDatatype="7" unbalanced="0"/>
    <cacheHierarchy uniqueName="[Facttable_ridership].[RecordID]" caption="RecordID" attribute="1" defaultMemberUniqueName="[Facttable_ridership].[RecordID].[All]" allUniqueName="[Facttable_ridership].[RecordID].[All]" dimensionUniqueName="[Facttable_ridership]" displayFolder="" count="0" memberValueDatatype="20" unbalanced="0"/>
    <cacheHierarchy uniqueName="[Facttable_ridership].[BusID]" caption="BusID" attribute="1" defaultMemberUniqueName="[Facttable_ridership].[BusID].[All]" allUniqueName="[Facttable_ridership].[BusID].[All]" dimensionUniqueName="[Facttable_ridership]" displayFolder="" count="0" memberValueDatatype="20" unbalanced="0"/>
    <cacheHierarchy uniqueName="[Facttable_ridership].[RiderID]" caption="RiderID" attribute="1" defaultMemberUniqueName="[Facttable_ridership].[RiderID].[All]" allUniqueName="[Facttable_ridership].[RiderID].[All]" dimensionUniqueName="[Facttable_ridership]" displayFolder="" count="0" memberValueDatatype="20" unbalanced="0"/>
    <cacheHierarchy uniqueName="[Facttable_ridership].[Date]" caption="Date" attribute="1" time="1" defaultMemberUniqueName="[Facttable_ridership].[Date].[All]" allUniqueName="[Facttable_ridership].[Date].[All]" dimensionUniqueName="[Facttable_ridership]" displayFolder="" count="0" memberValueDatatype="7" unbalanced="0"/>
    <cacheHierarchy uniqueName="[Facttable_ridership].[Time]" caption="Time" attribute="1" time="1" defaultMemberUniqueName="[Facttable_ridership].[Time].[All]" allUniqueName="[Facttable_ridership].[Time].[All]" dimensionUniqueName="[Facttable_ridership]" displayFolder="" count="0" memberValueDatatype="7" unbalanced="0"/>
    <cacheHierarchy uniqueName="[Facttable_ridership].[NumberOfRiders]" caption="NumberOfRiders" attribute="1" defaultMemberUniqueName="[Facttable_ridership].[NumberOfRiders].[All]" allUniqueName="[Facttable_ridership].[NumberOfRiders].[All]" dimensionUniqueName="[Facttable_ridership]" displayFolder="" count="0" memberValueDatatype="20" unbalanced="0"/>
    <cacheHierarchy uniqueName="[Facttable_ridership].[Moment]" caption="Moment" attribute="1" defaultMemberUniqueName="[Facttable_ridership].[Moment].[All]" allUniqueName="[Facttable_ridership].[Moment].[All]" dimensionUniqueName="[Facttable_ridership]" displayFolder="" count="2" memberValueDatatype="130" unbalanced="0">
      <fieldsUsage count="2">
        <fieldUsage x="-1"/>
        <fieldUsage x="0"/>
      </fieldsUsage>
    </cacheHierarchy>
    <cacheHierarchy uniqueName="[Facttable_ridership].[Capacity]" caption="Capacity" attribute="1" defaultMemberUniqueName="[Facttable_ridership].[Capacity].[All]" allUniqueName="[Facttable_ridership].[Capacity].[All]" dimensionUniqueName="[Facttable_ridership]" displayFolder="" count="0" memberValueDatatype="20" unbalanced="0"/>
    <cacheHierarchy uniqueName="[Facttable_ridership].[Utilization Pct]" caption="Utilization Pct" attribute="1" defaultMemberUniqueName="[Facttable_ridership].[Utilization Pct].[All]" allUniqueName="[Facttable_ridership].[Utilization Pct].[All]" dimensionUniqueName="[Facttable_ridership]" displayFolder="" count="0" memberValueDatatype="5" unbalanced="0"/>
    <cacheHierarchy uniqueName="[Facttable_ridership].[Bus Utilization Category]" caption="Bus Utilization Category" attribute="1" defaultMemberUniqueName="[Facttable_ridership].[Bus Utilization Category].[All]" allUniqueName="[Facttable_ridership].[Bus Utilization Category].[All]" dimensionUniqueName="[Facttable_ridership]" displayFolder="" count="0" memberValueDatatype="130" unbalanced="0"/>
    <cacheHierarchy uniqueName="[Facttable_ridership].[Time Gategory]" caption="Time Gategory" attribute="1" defaultMemberUniqueName="[Facttable_ridership].[Time Gategory].[All]" allUniqueName="[Facttable_ridership].[Time Gategory].[All]" dimensionUniqueName="[Facttable_ridership]" displayFolder="" count="0" memberValueDatatype="130" unbalanced="0"/>
    <cacheHierarchy uniqueName="[Facttable_ridership].[Time (Hour)]" caption="Time (Hour)" attribute="1" defaultMemberUniqueName="[Facttable_ridership].[Time (Hour)].[All]" allUniqueName="[Facttable_ridership].[Time (Hour)].[All]" dimensionUniqueName="[Facttable_ridership]" displayFolder="" count="0" memberValueDatatype="130" unbalanced="0"/>
    <cacheHierarchy uniqueName="[Facttable_ridership].[Time (Minute)]" caption="Time (Minute)" attribute="1" defaultMemberUniqueName="[Facttable_ridership].[Time (Minute)].[All]" allUniqueName="[Facttable_ridership].[Time (Minute)].[All]" dimensionUniqueName="[Facttable_ridership]" displayFolder="" count="0" memberValueDatatype="130" unbalanced="0"/>
    <cacheHierarchy uniqueName="[Facttable_ridership].[Date (Year)]" caption="Date (Year)" attribute="1" defaultMemberUniqueName="[Facttable_ridership].[Date (Year)].[All]" allUniqueName="[Facttable_ridership].[Date (Year)].[All]" dimensionUniqueName="[Facttable_ridership]" displayFolder="" count="0" memberValueDatatype="130" unbalanced="0"/>
    <cacheHierarchy uniqueName="[Facttable_ridership].[Date (Quarter)]" caption="Date (Quarter)" attribute="1" defaultMemberUniqueName="[Facttable_ridership].[Date (Quarter)].[All]" allUniqueName="[Facttable_ridership].[Date (Quarter)].[All]" dimensionUniqueName="[Facttable_ridership]" displayFolder="" count="0" memberValueDatatype="130" unbalanced="0"/>
    <cacheHierarchy uniqueName="[Facttable_ridership].[Date (Month)]" caption="Date (Month)" attribute="1" defaultMemberUniqueName="[Facttable_ridership].[Date (Month)].[All]" allUniqueName="[Facttable_ridership].[Date (Month)].[All]" dimensionUniqueName="[Facttable_ridership]" displayFolder="" count="0" memberValueDatatype="130" unbalanced="0"/>
    <cacheHierarchy uniqueName="[Facttable_ridership].[Date (Month Index)]" caption="Date (Month Index)" attribute="1" defaultMemberUniqueName="[Facttable_ridership].[Date (Month Index)].[All]" allUniqueName="[Facttable_ridership].[Date (Month Index)].[All]" dimensionUniqueName="[Facttable_ridership]" displayFolder="" count="0" memberValueDatatype="20" unbalanced="0" hidden="1"/>
    <cacheHierarchy uniqueName="[Measures].[Sum of Age]" caption="Sum of Age" measure="1" displayFolder="" measureGroup="Dim_demographics" count="0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Total Riders(Passenger)]" caption="Total Riders(Passenger)" measure="1" displayFolder="" measureGroup="calculations" count="0" oneField="1">
      <fieldsUsage count="1">
        <fieldUsage x="1"/>
      </fieldsUsage>
    </cacheHierarchy>
    <cacheHierarchy uniqueName="[Measures].[Avg Age]" caption="Avg Age" measure="1" displayFolder="" measureGroup="calculations" count="0"/>
    <cacheHierarchy uniqueName="[Measures].[Avg Riders per Trip]" caption="Avg Riders per Trip" measure="1" displayFolder="" measureGroup="calculations" count="0"/>
    <cacheHierarchy uniqueName="[Measures].[Total Transaction]" caption="Total Transaction" measure="1" displayFolder="" measureGroup="calculations" count="0"/>
    <cacheHierarchy uniqueName="[Measures].[Total Buses]" caption="Total Buses" measure="1" displayFolder="" measureGroup="calculations" count="0"/>
    <cacheHierarchy uniqueName="[Measures].[__XL_Count Facttable_ridership]" caption="__XL_Count Facttable_ridership" measure="1" displayFolder="" measureGroup="Facttable_ridership" count="0" hidden="1"/>
    <cacheHierarchy uniqueName="[Measures].[__XL_Count Dim_routes]" caption="__XL_Count Dim_routes" measure="1" displayFolder="" measureGroup="Dim_routes" count="0" hidden="1"/>
    <cacheHierarchy uniqueName="[Measures].[__XL_Count Dim_demographics]" caption="__XL_Count Dim_demographics" measure="1" displayFolder="" measureGroup="Dim_demographics" count="0" hidden="1"/>
    <cacheHierarchy uniqueName="[Measures].[__XL_Count Dim_buses]" caption="__XL_Count Dim_buses" measure="1" displayFolder="" measureGroup="Dim_buses" count="0" hidden="1"/>
    <cacheHierarchy uniqueName="[Measures].[__XL_Count Dim_Calender]" caption="__XL_Count Dim_Calender" measure="1" displayFolder="" measureGroup="Dim_Calender" count="0" hidden="1"/>
    <cacheHierarchy uniqueName="[Measures].[__XL_Count calculations]" caption="__XL_Count calculations" measure="1" displayFolder="" measureGroup="calculations" count="0" hidden="1"/>
    <cacheHierarchy uniqueName="[Measures].[__No measures defined]" caption="__No measures defined" measure="1" displayFolder="" count="0" hidden="1"/>
  </cacheHierarchies>
  <kpis count="0"/>
  <dimensions count="7">
    <dimension name="calculations" uniqueName="[calculations]" caption="calculations"/>
    <dimension name="Dim_buses" uniqueName="[Dim_buses]" caption="Dim_buses"/>
    <dimension name="Dim_Calender" uniqueName="[Dim_Calender]" caption="Dim_Calender"/>
    <dimension name="Dim_demographics" uniqueName="[Dim_demographics]" caption="Dim_demographics"/>
    <dimension name="Dim_routes" uniqueName="[Dim_routes]" caption="Dim_routes"/>
    <dimension name="Facttable_ridership" uniqueName="[Facttable_ridership]" caption="Facttable_ridership"/>
    <dimension measure="1" name="Measures" uniqueName="[Measures]" caption="Measures"/>
  </dimensions>
  <measureGroups count="6">
    <measureGroup name="calculations" caption="calculations"/>
    <measureGroup name="Dim_buses" caption="Dim_buses"/>
    <measureGroup name="Dim_Calender" caption="Dim_Calender"/>
    <measureGroup name="Dim_demographics" caption="Dim_demographics"/>
    <measureGroup name="Dim_routes" caption="Dim_routes"/>
    <measureGroup name="Facttable_ridership" caption="Facttable_ridership"/>
  </measureGroups>
  <maps count="11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F1AF6-7CAD-4510-A451-66E2DE08E901}" name="PivotTable14" cacheId="225" applyNumberFormats="0" applyBorderFormats="0" applyFontFormats="0" applyPatternFormats="0" applyAlignmentFormats="0" applyWidthHeightFormats="1" dataCaption="Values" tag="1dc379ca-f2db-4c88-9d6a-072ad93a130c" updatedVersion="8" minRefreshableVersion="3" useAutoFormatting="1" rowGrandTotals="0" colGrandTotals="0" itemPrintTitles="1" createdVersion="8" indent="0" outline="1" outlineData="1" multipleFieldFilters="0" chartFormat="9" rowHeaderCaption="Day Name">
  <location ref="L76:M7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2">
    <i>
      <x/>
    </i>
    <i>
      <x v="1"/>
    </i>
  </rowItems>
  <colItems count="1">
    <i/>
  </colItems>
  <dataFields count="1">
    <dataField fld="1" subtotal="count" showDataAs="percentOfTotal" baseField="0" baseItem="0" numFmtId="1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Calender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89E09-CD9E-43A5-A519-3899CBBA813C}" name="PivotTable13" cacheId="197" applyNumberFormats="0" applyBorderFormats="0" applyFontFormats="0" applyPatternFormats="0" applyAlignmentFormats="0" applyWidthHeightFormats="1" dataCaption="Values" tag="338b5c8a-f53e-4b83-b336-2648db0c1f57" updatedVersion="8" minRefreshableVersion="3" useAutoFormatting="1" rowGrandTotals="0" colGrandTotals="0" itemPrintTitles="1" createdVersion="8" indent="0" outline="1" outlineData="1" multipleFieldFilters="0" chartFormat="6" rowHeaderCaption="Bus Utilization Category">
  <location ref="H78:I8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Calender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68FBD-3DEE-4FE5-A2CC-7118D98A1AA9}" name="PivotTable12" cacheId="194" applyNumberFormats="0" applyBorderFormats="0" applyFontFormats="0" applyPatternFormats="0" applyAlignmentFormats="0" applyWidthHeightFormats="1" dataCaption="Values" tag="5e74ab72-ab8e-4063-be40-065c5e8d94e6" updatedVersion="8" minRefreshableVersion="3" useAutoFormatting="1" rowGrandTotals="0" colGrandTotals="0" itemPrintTitles="1" createdVersion="8" indent="0" outline="1" outlineData="1" multipleFieldFilters="0" chartFormat="6" rowHeaderCaption="Day Name">
  <location ref="K67:L6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Calen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956E0-B71B-44E2-96AB-2BE61BAB197C}" name="PivotTable11" cacheId="161" applyNumberFormats="0" applyBorderFormats="0" applyFontFormats="0" applyPatternFormats="0" applyAlignmentFormats="0" applyWidthHeightFormats="1" dataCaption="Values" tag="187e3200-041d-4b8f-86f0-8ebf205eef52" updatedVersion="8" minRefreshableVersion="3" useAutoFormatting="1" rowGrandTotals="0" colGrandTotals="0" itemPrintTitles="1" createdVersion="8" indent="0" outline="1" outlineData="1" multipleFieldFilters="0" chartFormat="1" rowHeaderCaption="Day Name">
  <location ref="J36:K4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  <x15:activeTabTopLevelEntity name="[Dim_Calen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AD2F68-B988-41E9-9213-305D12A9CD43}" name="PivotTable8" cacheId="164" applyNumberFormats="0" applyBorderFormats="0" applyFontFormats="0" applyPatternFormats="0" applyAlignmentFormats="0" applyWidthHeightFormats="1" dataCaption="Values" tag="1bcdc3f1-c372-4748-9a17-c503685559e0" updatedVersion="8" minRefreshableVersion="3" useAutoFormatting="1" rowGrandTotals="0" colGrandTotals="0" itemPrintTitles="1" createdVersion="8" indent="0" outline="1" outlineData="1" multipleFieldFilters="0" chartFormat="5">
  <location ref="F46:G4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2">
    <i>
      <x/>
    </i>
    <i>
      <x v="1"/>
    </i>
  </rowItems>
  <colItems count="1">
    <i/>
  </colItems>
  <dataFields count="1">
    <dataField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  <x15:activeTabTopLevelEntity name="[Dim_Calen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B7B3F-E3BA-494B-B33C-7BB4A66B25F6}" name="PivotTable5" cacheId="167" applyNumberFormats="0" applyBorderFormats="0" applyFontFormats="0" applyPatternFormats="0" applyAlignmentFormats="0" applyWidthHeightFormats="1" dataCaption="Values" tag="04807386-f7e0-4f0a-95bb-8af0ea0f246b" updatedVersion="8" minRefreshableVersion="3" useAutoFormatting="1" subtotalHiddenItems="1" rowGrandTotals="0" colGrandTotals="0" itemPrintTitles="1" createdVersion="8" indent="0" compact="0" compactData="0" multipleFieldFilters="0" chartFormat="7">
  <location ref="F32:H34" firstHeaderRow="0" firstDataRow="1" firstDataCol="1"/>
  <pivotFields count="6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>
      <items count="2">
        <item x="0" e="0"/>
        <item x="1" e="0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4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Total Riders(Passenger)2" fld="0" subtotal="count" baseField="0" baseItem="0">
      <extLst>
        <ext xmlns:x14="http://schemas.microsoft.com/office/spreadsheetml/2009/9/main" uri="{E15A36E0-9728-4e99-A89B-3F7291B0FE68}">
          <x14:dataField sourceField="0" uniqueName="[__Xl2].[Measures].[Total Riders(Passenger)]"/>
        </ext>
      </extLst>
    </dataField>
    <dataField fld="5" subtotal="count" showDataAs="percentDiff" baseField="4" baseItem="0" numFmtId="10">
      <extLst>
        <ext xmlns:x14="http://schemas.microsoft.com/office/spreadsheetml/2009/9/main" uri="{E15A36E0-9728-4e99-A89B-3F7291B0FE68}">
          <x14:dataField sourceField="0"/>
        </ext>
      </extLst>
    </dataField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2">
    <filter fld="1" type="count" id="1" iMeasureHier="42">
      <autoFilter ref="A1">
        <filterColumn colId="0">
          <top10 val="1" filterVal="1"/>
        </filterColumn>
      </autoFilter>
    </filter>
    <filter fld="3" type="count" id="2" iMeasureHier="42">
      <autoFilter ref="A1">
        <filterColumn colId="0">
          <top10 val="1" filterVal="1"/>
        </filterColumn>
      </autoFilter>
    </filter>
  </filters>
  <rowHierarchiesUsage count="1">
    <rowHierarchyUsage hierarchyUsage="3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route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5CDAA-D536-4C02-87F0-B650C2441CC3}" name="PivotTable1" cacheId="179" applyNumberFormats="0" applyBorderFormats="0" applyFontFormats="0" applyPatternFormats="0" applyAlignmentFormats="0" applyWidthHeightFormats="1" dataCaption="Values" tag="12a7a40a-b60d-4606-9daf-4929f1cc7aa4" updatedVersion="8" minRefreshableVersion="3" useAutoFormatting="1" subtotalHiddenItems="1" rowGrandTotals="0" colGrandTotals="0" itemPrintTitles="1" createdVersion="8" indent="0" compact="0" compactData="0" multipleFieldFilters="0" chartFormat="7">
  <location ref="F16:G19" firstHeaderRow="1" firstDataRow="1" firstDataCol="1"/>
  <pivotFields count="3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3">
    <i>
      <x v="1"/>
    </i>
    <i>
      <x/>
    </i>
    <i>
      <x v="2"/>
    </i>
  </rowItems>
  <colItems count="1">
    <i/>
  </colItems>
  <dataFields count="1">
    <dataField fld="0" subtotal="count" baseField="0" baseItem="0" numFmtId="164"/>
  </dataFields>
  <formats count="1">
    <format dxfId="2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2">
      <autoFilter ref="A1">
        <filterColumn colId="0">
          <top10 val="1" filterVal="1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  <x15:activeTabTopLevelEntity name="[Dim_route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8A32E-ED8C-4834-8BA0-A9E412A15B07}" name="PivotTable6" cacheId="182" applyNumberFormats="0" applyBorderFormats="0" applyFontFormats="0" applyPatternFormats="0" applyAlignmentFormats="0" applyWidthHeightFormats="1" dataCaption="Values" tag="453e4d8d-c84a-45a3-b35d-baf0f4e8405e" updatedVersion="8" minRefreshableVersion="3" useAutoFormatting="1" itemPrintTitles="1" createdVersion="8" indent="0" outline="1" outlineData="1" multipleFieldFilters="0">
  <location ref="B7:B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64"/>
  </dataFields>
  <formats count="1">
    <format dxfId="3">
      <pivotArea outline="0" collapsedLevelsAreSubtotals="1" fieldPosition="0"/>
    </format>
  </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6B034-CE2E-4539-93A1-8E646C508F9B}" name="PivotTable9" cacheId="188" applyNumberFormats="0" applyBorderFormats="0" applyFontFormats="0" applyPatternFormats="0" applyAlignmentFormats="0" applyWidthHeightFormats="1" dataCaption="Values" tag="84e0706e-13da-4a63-863e-0b1bed0121ea" updatedVersion="8" minRefreshableVersion="3" useAutoFormatting="1" subtotalHiddenItems="1" rowGrandTotals="0" colGrandTotals="0" itemPrintTitles="1" createdVersion="8" indent="0" compact="0" compactData="0" multipleFieldFilters="0">
  <location ref="B13:C14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2">
      <autoFilter ref="A1">
        <filterColumn colId="0">
          <top10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29B35-6134-4337-9EF6-3C6645522128}" name="PivotTable7" cacheId="185" applyNumberFormats="0" applyBorderFormats="0" applyFontFormats="0" applyPatternFormats="0" applyAlignmentFormats="0" applyWidthHeightFormats="1" dataCaption="Values" tag="42f1109f-811f-4d9f-8efa-1ea0873afff9" updatedVersion="8" minRefreshableVersion="3" useAutoFormatting="1" itemPrintTitles="1" createdVersion="8" indent="0" outline="1" outlineData="1" multipleFieldFilters="0">
  <location ref="C7:C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92B89-EA4D-4952-BCC2-496779C7A25C}" name="PivotTable4" cacheId="170" applyNumberFormats="0" applyBorderFormats="0" applyFontFormats="0" applyPatternFormats="0" applyAlignmentFormats="0" applyWidthHeightFormats="1" dataCaption="Values" tag="a89afe02-4fe4-4454-be05-abd618954395" updatedVersion="8" minRefreshableVersion="3" useAutoFormatting="1" subtotalHiddenItems="1" rowGrandTotals="0" colGrandTotals="0" itemPrintTitles="1" createdVersion="8" indent="0" compact="0" compactData="0" multipleFieldFilters="0" chartFormat="15">
  <location ref="H16:I18" firstHeaderRow="1" firstDataRow="1" firstDataCol="1"/>
  <pivotFields count="5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measureFilter="1" dataSourceSort="1" defaultSubtotal="0" defaultAttributeDrillState="1">
      <items count="1">
        <item x="0"/>
      </items>
    </pivotField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fld="0" subtotal="count" baseField="0" baseItem="0" numFmtId="164"/>
  </dataFields>
  <formats count="1">
    <format dxfId="4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2">
      <autoFilter ref="A1">
        <filterColumn colId="0">
          <top10 val="1" filterVal="1"/>
        </filterColumn>
      </autoFilter>
    </filter>
    <filter fld="3" type="count" id="3" iMeasureHier="42">
      <autoFilter ref="A1">
        <filterColumn colId="0">
          <top10 top="0" val="1" filterVal="1"/>
        </filterColumn>
      </autoFilter>
    </filter>
  </filters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culations]"/>
        <x15:activeTabTopLevelEntity name="[Dim_route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B6E6A-6D3C-4C60-A98C-5A46705DA12B}" name="PivotTable2" cacheId="176" applyNumberFormats="0" applyBorderFormats="0" applyFontFormats="0" applyPatternFormats="0" applyAlignmentFormats="0" applyWidthHeightFormats="1" dataCaption="Values" tag="f2494ed0-03fb-41b0-b79f-4a9be45bc098" updatedVersion="8" minRefreshableVersion="3" useAutoFormatting="1" subtotalHiddenItems="1" rowGrandTotals="0" colGrandTotals="0" itemPrintTitles="1" createdVersion="8" indent="0" compact="0" compactData="0" multipleFieldFilters="0" chartFormat="7">
  <location ref="F27:G28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 numFmtId="164"/>
  </dataFields>
  <formats count="1">
    <format dxfId="5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1" type="count" id="1" iMeasureHier="42">
      <autoFilter ref="A1">
        <filterColumn colId="0">
          <top10 val="1" filterVal="1"/>
        </filterColumn>
      </autoFilter>
    </filter>
    <filter fld="3" type="count" id="2" iMeasureHier="42">
      <autoFilter ref="A1">
        <filterColumn colId="0">
          <top10 val="1" filterVal="1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route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35514-ACBB-4BDB-B9C8-3475BA11D13C}" name="PivotTable10" cacheId="191" applyNumberFormats="0" applyBorderFormats="0" applyFontFormats="0" applyPatternFormats="0" applyAlignmentFormats="0" applyWidthHeightFormats="1" dataCaption="Values" tag="5e9fa2b5-634a-4e3c-8ee8-6b09156788b8" updatedVersion="8" minRefreshableVersion="3" useAutoFormatting="1" subtotalHiddenItems="1" rowGrandTotals="0" colGrandTotals="0" itemPrintTitles="1" createdVersion="8" indent="0" compact="0" compactData="0" multipleFieldFilters="0">
  <location ref="B17:C18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1"/>
  </rowFields>
  <rowItems count="1">
    <i>
      <x/>
    </i>
  </rowItems>
  <colItems count="1">
    <i/>
  </colItems>
  <dataFields count="1">
    <dataField fld="0" subtotal="count" baseField="0" baseItem="0"/>
  </dataField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42">
      <autoFilter ref="A1">
        <filterColumn colId="0">
          <top10 top="0" val="1" filterVal="1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rou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15C00D-BEE2-413A-AAC8-12EFE3DFCE9D}" name="PivotTable3" cacheId="173" applyNumberFormats="0" applyBorderFormats="0" applyFontFormats="0" applyPatternFormats="0" applyAlignmentFormats="0" applyWidthHeightFormats="1" dataCaption="Values" tag="d0d1cf74-5f5d-4f9f-9cfd-3785cfe89d6f" updatedVersion="8" minRefreshableVersion="3" useAutoFormatting="1" subtotalHiddenItems="1" rowGrandTotals="0" colGrandTotals="0" itemPrintTitles="1" createdVersion="8" indent="0" compact="0" compactData="0" multipleFieldFilters="0" chartFormat="7">
  <location ref="I27:J28" firstHeaderRow="1" firstDataRow="1" firstDataCol="1"/>
  <pivotFields count="4">
    <pivotField dataField="1" compact="0" outline="0" subtotalTop="0" showAll="0" defaultSubtotal="0"/>
    <pivotField compact="0" allDrilled="1" outline="0" subtotalTop="0" showAll="0" measureFilter="1" dataSourceSort="1" defaultSubtotal="0" defaultAttributeDrillState="1">
      <items count="1">
        <item x="0"/>
      </items>
    </pivotField>
    <pivotField compact="0" allDrilled="1" outline="0" subtotalTop="0" showAll="0" sortType="a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allDrilled="1" outline="0" subtotalTop="0" showAll="0" measureFilter="1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Items count="1">
    <i/>
  </colItems>
  <dataFields count="1">
    <dataField fld="0" subtotal="count" baseField="0" baseItem="0" numFmtId="164"/>
  </dataFields>
  <formats count="1">
    <format dxfId="6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2">
    <filter fld="3" type="count" id="3" iMeasureHier="42">
      <autoFilter ref="A1">
        <filterColumn colId="0">
          <top10 top="0" val="1" filterVal="1"/>
        </filterColumn>
      </autoFilter>
    </filter>
    <filter fld="1" type="count" id="1" iMeasureHier="42">
      <autoFilter ref="A1">
        <filterColumn colId="0">
          <top10 val="1" filterVal="1"/>
        </filterColumn>
      </autoFilter>
    </filter>
  </filters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calculations]"/>
        <x15:activeTabTopLevelEntity name="[Dim_routes]"/>
        <x15:activeTabTopLevelEntity name="[Facttable_rid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0731-953A-41A3-84FF-A34725A1542A}">
  <dimension ref="B7:N87"/>
  <sheetViews>
    <sheetView topLeftCell="H64" workbookViewId="0">
      <selection activeCell="M77" sqref="M77"/>
    </sheetView>
  </sheetViews>
  <sheetFormatPr defaultRowHeight="14" x14ac:dyDescent="0.3"/>
  <cols>
    <col min="2" max="2" width="12.83203125" bestFit="1" customWidth="1"/>
    <col min="3" max="3" width="21.58203125" bestFit="1" customWidth="1"/>
    <col min="5" max="5" width="8.6640625" style="3"/>
    <col min="6" max="6" width="18.1640625" bestFit="1" customWidth="1"/>
    <col min="7" max="7" width="21.58203125" bestFit="1" customWidth="1"/>
    <col min="8" max="8" width="26" customWidth="1"/>
    <col min="9" max="9" width="14.58203125" customWidth="1"/>
    <col min="10" max="10" width="21.58203125" bestFit="1" customWidth="1"/>
    <col min="11" max="12" width="11.5" bestFit="1" customWidth="1"/>
    <col min="13" max="13" width="21.58203125" bestFit="1" customWidth="1"/>
    <col min="14" max="14" width="22.58203125" bestFit="1" customWidth="1"/>
    <col min="15" max="39" width="14.9140625" bestFit="1" customWidth="1"/>
    <col min="40" max="125" width="10.08203125" bestFit="1" customWidth="1"/>
    <col min="126" max="176" width="11.08203125" bestFit="1" customWidth="1"/>
  </cols>
  <sheetData>
    <row r="7" spans="2:9" x14ac:dyDescent="0.3">
      <c r="B7" t="s">
        <v>0</v>
      </c>
      <c r="C7" t="s">
        <v>1</v>
      </c>
    </row>
    <row r="8" spans="2:9" x14ac:dyDescent="0.3">
      <c r="B8" s="5">
        <v>6587</v>
      </c>
      <c r="C8" s="2">
        <v>32.935000000000002</v>
      </c>
    </row>
    <row r="12" spans="2:9" x14ac:dyDescent="0.3">
      <c r="B12" t="s">
        <v>4</v>
      </c>
    </row>
    <row r="13" spans="2:9" x14ac:dyDescent="0.3">
      <c r="B13" s="1" t="s">
        <v>5</v>
      </c>
      <c r="C13" t="s">
        <v>0</v>
      </c>
    </row>
    <row r="14" spans="2:9" x14ac:dyDescent="0.3">
      <c r="B14" t="s">
        <v>2</v>
      </c>
      <c r="C14" s="2">
        <v>1322</v>
      </c>
    </row>
    <row r="16" spans="2:9" x14ac:dyDescent="0.3">
      <c r="B16" t="s">
        <v>6</v>
      </c>
      <c r="F16" s="1" t="s">
        <v>11</v>
      </c>
      <c r="G16" t="s">
        <v>0</v>
      </c>
      <c r="H16" s="1" t="s">
        <v>8</v>
      </c>
      <c r="I16" t="s">
        <v>0</v>
      </c>
    </row>
    <row r="17" spans="2:10" x14ac:dyDescent="0.3">
      <c r="B17" s="1" t="s">
        <v>5</v>
      </c>
      <c r="C17" t="s">
        <v>0</v>
      </c>
      <c r="F17" t="s">
        <v>13</v>
      </c>
      <c r="G17" s="5">
        <v>1447</v>
      </c>
      <c r="H17" t="s">
        <v>9</v>
      </c>
      <c r="I17" s="5">
        <v>5654</v>
      </c>
    </row>
    <row r="18" spans="2:10" x14ac:dyDescent="0.3">
      <c r="B18" t="s">
        <v>3</v>
      </c>
      <c r="C18" s="2">
        <v>185</v>
      </c>
      <c r="F18" t="s">
        <v>12</v>
      </c>
      <c r="G18" s="5">
        <v>2119</v>
      </c>
      <c r="H18" t="s">
        <v>10</v>
      </c>
      <c r="I18" s="5">
        <v>933</v>
      </c>
    </row>
    <row r="19" spans="2:10" x14ac:dyDescent="0.3">
      <c r="F19" t="s">
        <v>14</v>
      </c>
      <c r="G19" s="5">
        <v>3021</v>
      </c>
    </row>
    <row r="20" spans="2:10" x14ac:dyDescent="0.3">
      <c r="G20" s="7"/>
    </row>
    <row r="26" spans="2:10" x14ac:dyDescent="0.3">
      <c r="F26" t="s">
        <v>15</v>
      </c>
      <c r="I26" t="s">
        <v>15</v>
      </c>
    </row>
    <row r="27" spans="2:10" x14ac:dyDescent="0.3">
      <c r="F27" s="1" t="s">
        <v>7</v>
      </c>
      <c r="G27" t="s">
        <v>0</v>
      </c>
      <c r="I27" s="1" t="s">
        <v>7</v>
      </c>
      <c r="J27" t="s">
        <v>0</v>
      </c>
    </row>
    <row r="28" spans="2:10" x14ac:dyDescent="0.3">
      <c r="F28" s="6">
        <v>0.48680555555555555</v>
      </c>
      <c r="G28" s="5">
        <v>108</v>
      </c>
      <c r="I28" s="6">
        <v>0.52361111111111114</v>
      </c>
      <c r="J28" s="5">
        <v>15</v>
      </c>
    </row>
    <row r="32" spans="2:10" x14ac:dyDescent="0.3">
      <c r="F32" s="1" t="s">
        <v>8</v>
      </c>
      <c r="G32" t="s">
        <v>21</v>
      </c>
      <c r="H32" t="s">
        <v>0</v>
      </c>
    </row>
    <row r="33" spans="6:14" x14ac:dyDescent="0.3">
      <c r="F33" t="s">
        <v>9</v>
      </c>
      <c r="G33" s="5">
        <v>5654</v>
      </c>
      <c r="H33" s="9"/>
    </row>
    <row r="34" spans="6:14" x14ac:dyDescent="0.3">
      <c r="F34" t="s">
        <v>10</v>
      </c>
      <c r="G34" s="5">
        <v>933</v>
      </c>
      <c r="H34" s="9">
        <v>-0.83498408206579411</v>
      </c>
    </row>
    <row r="36" spans="6:14" x14ac:dyDescent="0.3">
      <c r="J36" s="1" t="s">
        <v>30</v>
      </c>
      <c r="K36" t="s">
        <v>0</v>
      </c>
    </row>
    <row r="37" spans="6:14" x14ac:dyDescent="0.3">
      <c r="J37" s="11" t="s">
        <v>26</v>
      </c>
      <c r="K37" s="2">
        <v>1185</v>
      </c>
    </row>
    <row r="38" spans="6:14" x14ac:dyDescent="0.3">
      <c r="J38" s="11" t="s">
        <v>24</v>
      </c>
      <c r="K38" s="2">
        <v>1085</v>
      </c>
    </row>
    <row r="39" spans="6:14" x14ac:dyDescent="0.3">
      <c r="G39" t="s">
        <v>18</v>
      </c>
      <c r="H39" t="s">
        <v>19</v>
      </c>
      <c r="J39" s="11" t="s">
        <v>28</v>
      </c>
      <c r="K39" s="2">
        <v>983</v>
      </c>
    </row>
    <row r="40" spans="6:14" x14ac:dyDescent="0.3">
      <c r="G40" s="10">
        <f>GETPIVOTDATA("[Measures].[Total Riders(Passenger)]",$F$32,"[Facttable_ridership].[Date (Year)]","[Facttable_ridership].[Date (Year)].&amp;[2024]")</f>
        <v>-0.83498408206579411</v>
      </c>
      <c r="H40">
        <f>IF(G40&lt;0,I4,I40)</f>
        <v>0</v>
      </c>
      <c r="J40" s="11" t="s">
        <v>29</v>
      </c>
      <c r="K40" s="2">
        <v>887</v>
      </c>
    </row>
    <row r="41" spans="6:14" x14ac:dyDescent="0.3">
      <c r="J41" s="11" t="s">
        <v>27</v>
      </c>
      <c r="K41" s="2">
        <v>889</v>
      </c>
    </row>
    <row r="42" spans="6:14" x14ac:dyDescent="0.3">
      <c r="G42" t="s">
        <v>20</v>
      </c>
      <c r="J42" s="11" t="s">
        <v>23</v>
      </c>
      <c r="K42" s="2">
        <v>762</v>
      </c>
    </row>
    <row r="43" spans="6:14" x14ac:dyDescent="0.3">
      <c r="G43" t="str">
        <f>IF(G40&lt;0,"YOY change sugests room for improvement", "we are doing good with YOY change on the current year ")</f>
        <v>YOY change sugests room for improvement</v>
      </c>
      <c r="J43" s="11" t="s">
        <v>25</v>
      </c>
      <c r="K43" s="2">
        <v>796</v>
      </c>
    </row>
    <row r="46" spans="6:14" x14ac:dyDescent="0.3">
      <c r="F46" s="1" t="s">
        <v>22</v>
      </c>
      <c r="G46" t="s">
        <v>0</v>
      </c>
      <c r="J46" t="str">
        <f>J36</f>
        <v>Day Name</v>
      </c>
      <c r="K46" t="str">
        <f>K36</f>
        <v>Total Riders(Passenger)</v>
      </c>
      <c r="L46" t="s">
        <v>31</v>
      </c>
      <c r="M46" t="s">
        <v>32</v>
      </c>
      <c r="N46" t="s">
        <v>33</v>
      </c>
    </row>
    <row r="47" spans="6:14" x14ac:dyDescent="0.3">
      <c r="F47" s="11">
        <v>2023</v>
      </c>
      <c r="G47" s="2">
        <v>5654</v>
      </c>
      <c r="J47" t="str">
        <f t="shared" ref="J47:K47" si="0">J37</f>
        <v>Sun</v>
      </c>
      <c r="K47">
        <f t="shared" si="0"/>
        <v>1185</v>
      </c>
      <c r="L47">
        <f>AVERAGE($K$47:K53)</f>
        <v>941</v>
      </c>
      <c r="M47">
        <f>IF(K47&gt;L47,K47,"")</f>
        <v>1185</v>
      </c>
      <c r="N47" t="str">
        <f>IF(K47&lt;L47,K47,"")</f>
        <v/>
      </c>
    </row>
    <row r="48" spans="6:14" x14ac:dyDescent="0.3">
      <c r="F48" s="11">
        <v>2024</v>
      </c>
      <c r="G48" s="2">
        <v>933</v>
      </c>
      <c r="J48" t="str">
        <f t="shared" ref="J48:K48" si="1">J38</f>
        <v>Mon</v>
      </c>
      <c r="K48">
        <f t="shared" si="1"/>
        <v>1085</v>
      </c>
      <c r="L48">
        <f>AVERAGE($K$47:K54)</f>
        <v>941</v>
      </c>
      <c r="M48">
        <f t="shared" ref="M48:M53" si="2">IF(K48&gt;L48,K48,"")</f>
        <v>1085</v>
      </c>
      <c r="N48" t="str">
        <f t="shared" ref="N48:N53" si="3">IF(K48&lt;L48,K48,"")</f>
        <v/>
      </c>
    </row>
    <row r="49" spans="10:14" x14ac:dyDescent="0.3">
      <c r="J49" t="str">
        <f t="shared" ref="J49:K49" si="4">J39</f>
        <v>Tue</v>
      </c>
      <c r="K49">
        <f t="shared" si="4"/>
        <v>983</v>
      </c>
      <c r="L49">
        <f>AVERAGE($K$47:K55)</f>
        <v>941</v>
      </c>
      <c r="M49">
        <f t="shared" si="2"/>
        <v>983</v>
      </c>
      <c r="N49" t="str">
        <f t="shared" si="3"/>
        <v/>
      </c>
    </row>
    <row r="50" spans="10:14" x14ac:dyDescent="0.3">
      <c r="J50" t="str">
        <f t="shared" ref="J50:K50" si="5">J40</f>
        <v>Wed</v>
      </c>
      <c r="K50">
        <f t="shared" si="5"/>
        <v>887</v>
      </c>
      <c r="L50">
        <f>AVERAGE($K$47:K56)</f>
        <v>941</v>
      </c>
      <c r="M50" t="str">
        <f t="shared" si="2"/>
        <v/>
      </c>
      <c r="N50">
        <f t="shared" si="3"/>
        <v>887</v>
      </c>
    </row>
    <row r="51" spans="10:14" x14ac:dyDescent="0.3">
      <c r="J51" t="str">
        <f t="shared" ref="J51:K51" si="6">J41</f>
        <v>Thu</v>
      </c>
      <c r="K51">
        <f t="shared" si="6"/>
        <v>889</v>
      </c>
      <c r="L51">
        <f>AVERAGE($K$47:K57)</f>
        <v>941</v>
      </c>
      <c r="M51" t="str">
        <f t="shared" si="2"/>
        <v/>
      </c>
      <c r="N51">
        <f t="shared" si="3"/>
        <v>889</v>
      </c>
    </row>
    <row r="52" spans="10:14" x14ac:dyDescent="0.3">
      <c r="J52" t="str">
        <f t="shared" ref="J52:K52" si="7">J42</f>
        <v>Fri</v>
      </c>
      <c r="K52">
        <f t="shared" si="7"/>
        <v>762</v>
      </c>
      <c r="L52">
        <f>AVERAGE($K$47:K58)</f>
        <v>941</v>
      </c>
      <c r="M52" t="str">
        <f t="shared" si="2"/>
        <v/>
      </c>
      <c r="N52">
        <f t="shared" si="3"/>
        <v>762</v>
      </c>
    </row>
    <row r="53" spans="10:14" x14ac:dyDescent="0.3">
      <c r="J53" t="str">
        <f t="shared" ref="J53:K53" si="8">J43</f>
        <v>Sat</v>
      </c>
      <c r="K53">
        <f t="shared" si="8"/>
        <v>796</v>
      </c>
      <c r="L53">
        <f>AVERAGE($K$47:K59)</f>
        <v>941</v>
      </c>
      <c r="M53" t="str">
        <f t="shared" si="2"/>
        <v/>
      </c>
      <c r="N53">
        <f t="shared" si="3"/>
        <v>796</v>
      </c>
    </row>
    <row r="55" spans="10:14" x14ac:dyDescent="0.3">
      <c r="J55" t="s">
        <v>34</v>
      </c>
    </row>
    <row r="56" spans="10:14" x14ac:dyDescent="0.3">
      <c r="J56" t="str">
        <f>"Focus On Highlited Weekdays: They Exceed the "&amp;L47&amp;" Passenger average and account for "&amp;TEXT(J60,"0.0%")&amp;" of the total passengers"</f>
        <v>Focus On Highlited Weekdays: They Exceed the 941 Passenger average and account for 49.4% of the total passengers</v>
      </c>
    </row>
    <row r="59" spans="10:14" x14ac:dyDescent="0.3">
      <c r="J59" t="s">
        <v>35</v>
      </c>
    </row>
    <row r="60" spans="10:14" x14ac:dyDescent="0.3">
      <c r="J60" s="10">
        <f>SUM(M47:M53)/SUM(K47:K53)</f>
        <v>0.4938515257325034</v>
      </c>
    </row>
    <row r="67" spans="8:13" x14ac:dyDescent="0.3">
      <c r="K67" s="1" t="s">
        <v>30</v>
      </c>
      <c r="L67" t="s">
        <v>0</v>
      </c>
    </row>
    <row r="68" spans="8:13" x14ac:dyDescent="0.3">
      <c r="K68" s="11" t="s">
        <v>17</v>
      </c>
      <c r="L68" s="2">
        <v>933</v>
      </c>
    </row>
    <row r="69" spans="8:13" x14ac:dyDescent="0.3">
      <c r="K69" s="11" t="s">
        <v>16</v>
      </c>
      <c r="L69" s="2">
        <v>5654</v>
      </c>
    </row>
    <row r="76" spans="8:13" x14ac:dyDescent="0.3">
      <c r="L76" s="1" t="s">
        <v>30</v>
      </c>
      <c r="M76" t="s">
        <v>0</v>
      </c>
    </row>
    <row r="77" spans="8:13" x14ac:dyDescent="0.3">
      <c r="L77" s="11" t="s">
        <v>43</v>
      </c>
      <c r="M77" s="9">
        <v>0.35387885228480342</v>
      </c>
    </row>
    <row r="78" spans="8:13" x14ac:dyDescent="0.3">
      <c r="H78" s="1" t="s">
        <v>40</v>
      </c>
      <c r="I78" t="s">
        <v>39</v>
      </c>
      <c r="L78" s="11" t="s">
        <v>44</v>
      </c>
      <c r="M78" s="9">
        <v>0.64612114771519658</v>
      </c>
    </row>
    <row r="79" spans="8:13" x14ac:dyDescent="0.3">
      <c r="H79" s="11" t="s">
        <v>36</v>
      </c>
      <c r="I79" s="12">
        <v>27</v>
      </c>
      <c r="J79" t="str">
        <f>I79&amp;" Total Buses"</f>
        <v>27 Total Buses</v>
      </c>
    </row>
    <row r="80" spans="8:13" x14ac:dyDescent="0.3">
      <c r="H80" s="11" t="s">
        <v>37</v>
      </c>
      <c r="I80" s="12">
        <v>19</v>
      </c>
      <c r="J80" t="str">
        <f t="shared" ref="J80:J81" si="9">I80&amp;" Total Buses"</f>
        <v>19 Total Buses</v>
      </c>
    </row>
    <row r="81" spans="8:10" x14ac:dyDescent="0.3">
      <c r="H81" s="11" t="s">
        <v>38</v>
      </c>
      <c r="I81" s="12">
        <v>36</v>
      </c>
      <c r="J81" t="str">
        <f t="shared" si="9"/>
        <v>36 Total Buses</v>
      </c>
    </row>
    <row r="84" spans="8:10" x14ac:dyDescent="0.3">
      <c r="H84" t="str">
        <f>H78</f>
        <v>Bus Utilization Category</v>
      </c>
      <c r="I84" t="s">
        <v>41</v>
      </c>
      <c r="J84" t="s">
        <v>42</v>
      </c>
    </row>
    <row r="85" spans="8:10" x14ac:dyDescent="0.3">
      <c r="H85" t="str">
        <f t="shared" ref="H85:H87" si="10">H79</f>
        <v>over_utilization</v>
      </c>
      <c r="I85" s="10">
        <f>I79/SUM($I$79:$I$81)</f>
        <v>0.32926829268292684</v>
      </c>
      <c r="J85" s="9">
        <f>1-I85</f>
        <v>0.6707317073170731</v>
      </c>
    </row>
    <row r="86" spans="8:10" x14ac:dyDescent="0.3">
      <c r="H86" t="str">
        <f t="shared" si="10"/>
        <v>under_utilization</v>
      </c>
      <c r="I86" s="10">
        <f t="shared" ref="I86:I87" si="11">I80/SUM($I$79:$I$81)</f>
        <v>0.23170731707317074</v>
      </c>
      <c r="J86" s="9">
        <f t="shared" ref="J86:J87" si="12">1-I86</f>
        <v>0.76829268292682928</v>
      </c>
    </row>
    <row r="87" spans="8:10" x14ac:dyDescent="0.3">
      <c r="H87" t="str">
        <f t="shared" si="10"/>
        <v>well_utilization</v>
      </c>
      <c r="I87" s="10">
        <f t="shared" si="11"/>
        <v>0.43902439024390244</v>
      </c>
      <c r="J87" s="9">
        <f t="shared" si="12"/>
        <v>0.56097560975609762</v>
      </c>
    </row>
  </sheetData>
  <pageMargins left="0.7" right="0.7" top="0.75" bottom="0.75" header="0.3" footer="0.3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764F-770D-41B6-9CCD-E5C70595CAFE}">
  <dimension ref="D29"/>
  <sheetViews>
    <sheetView showGridLines="0" showRowColHeaders="0" tabSelected="1" workbookViewId="0">
      <selection activeCell="B24" sqref="B24"/>
    </sheetView>
  </sheetViews>
  <sheetFormatPr defaultRowHeight="14" x14ac:dyDescent="0.3"/>
  <cols>
    <col min="1" max="3" width="8.6640625" style="4"/>
    <col min="4" max="4" width="11.08203125" style="4" bestFit="1" customWidth="1"/>
    <col min="5" max="16384" width="8.6640625" style="4"/>
  </cols>
  <sheetData>
    <row r="29" spans="4:4" x14ac:dyDescent="0.3">
      <c r="D29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Props1.xml><?xml version="1.0" encoding="utf-8"?>
<ds:datastoreItem xmlns:ds="http://schemas.openxmlformats.org/officeDocument/2006/customXml" ds:itemID="{5D5F6F4D-86E8-4494-96D4-72EB2CEF04B4}">
  <ds:schemaRefs/>
</ds:datastoreItem>
</file>

<file path=customXml/itemProps2.xml><?xml version="1.0" encoding="utf-8"?>
<ds:datastoreItem xmlns:ds="http://schemas.openxmlformats.org/officeDocument/2006/customXml" ds:itemID="{80D5E6A9-E766-4E25-A3D2-084F52FFE5FC}">
  <ds:schemaRefs/>
</ds:datastoreItem>
</file>

<file path=customXml/itemProps3.xml><?xml version="1.0" encoding="utf-8"?>
<ds:datastoreItem xmlns:ds="http://schemas.openxmlformats.org/officeDocument/2006/customXml" ds:itemID="{569F92C8-D40F-48EA-B6D1-F3191604E4D3}">
  <ds:schemaRefs/>
</ds:datastoreItem>
</file>

<file path=customXml/itemProps4.xml><?xml version="1.0" encoding="utf-8"?>
<ds:datastoreItem xmlns:ds="http://schemas.openxmlformats.org/officeDocument/2006/customXml" ds:itemID="{7D4B5B68-9C4E-419E-9489-5BF2B8067749}">
  <ds:schemaRefs/>
</ds:datastoreItem>
</file>

<file path=customXml/itemProps5.xml><?xml version="1.0" encoding="utf-8"?>
<ds:datastoreItem xmlns:ds="http://schemas.openxmlformats.org/officeDocument/2006/customXml" ds:itemID="{742EEBC7-D2C8-488B-A881-48CF31C7D708}">
  <ds:schemaRefs/>
</ds:datastoreItem>
</file>

<file path=customXml/itemProps6.xml><?xml version="1.0" encoding="utf-8"?>
<ds:datastoreItem xmlns:ds="http://schemas.openxmlformats.org/officeDocument/2006/customXml" ds:itemID="{AFF8446A-14EF-4EA5-8F8A-8B0B7571197F}">
  <ds:schemaRefs/>
</ds:datastoreItem>
</file>

<file path=customXml/itemProps7.xml><?xml version="1.0" encoding="utf-8"?>
<ds:datastoreItem xmlns:ds="http://schemas.openxmlformats.org/officeDocument/2006/customXml" ds:itemID="{B394895E-20CB-4C22-9629-ED3629D46CE1}">
  <ds:schemaRefs/>
</ds:datastoreItem>
</file>

<file path=customXml/itemProps8.xml><?xml version="1.0" encoding="utf-8"?>
<ds:datastoreItem xmlns:ds="http://schemas.openxmlformats.org/officeDocument/2006/customXml" ds:itemID="{A77336A3-619A-4D22-A335-FC04170A0653}">
  <ds:schemaRefs/>
</ds:datastoreItem>
</file>

<file path=customXml/itemProps9.xml><?xml version="1.0" encoding="utf-8"?>
<ds:datastoreItem xmlns:ds="http://schemas.openxmlformats.org/officeDocument/2006/customXml" ds:itemID="{761336B2-CEE7-4646-9F22-EB24A41B07F4}">
  <ds:schemaRefs/>
</ds:datastoreItem>
</file>

<file path=customXml/itemProps10.xml><?xml version="1.0" encoding="utf-8"?>
<ds:datastoreItem xmlns:ds="http://schemas.openxmlformats.org/officeDocument/2006/customXml" ds:itemID="{02AAA959-8524-456C-8B90-78749900A3B8}">
  <ds:schemaRefs/>
</ds:datastoreItem>
</file>

<file path=customXml/itemProps11.xml><?xml version="1.0" encoding="utf-8"?>
<ds:datastoreItem xmlns:ds="http://schemas.openxmlformats.org/officeDocument/2006/customXml" ds:itemID="{176733B4-C379-413C-B056-E38B2EC69AF8}">
  <ds:schemaRefs/>
</ds:datastoreItem>
</file>

<file path=customXml/itemProps12.xml><?xml version="1.0" encoding="utf-8"?>
<ds:datastoreItem xmlns:ds="http://schemas.openxmlformats.org/officeDocument/2006/customXml" ds:itemID="{971BA274-6AA0-47BD-942F-6B0B63ED409E}">
  <ds:schemaRefs/>
</ds:datastoreItem>
</file>

<file path=customXml/itemProps13.xml><?xml version="1.0" encoding="utf-8"?>
<ds:datastoreItem xmlns:ds="http://schemas.openxmlformats.org/officeDocument/2006/customXml" ds:itemID="{E637B7F5-5686-4128-AC72-0B2AB2105885}">
  <ds:schemaRefs/>
</ds:datastoreItem>
</file>

<file path=customXml/itemProps14.xml><?xml version="1.0" encoding="utf-8"?>
<ds:datastoreItem xmlns:ds="http://schemas.openxmlformats.org/officeDocument/2006/customXml" ds:itemID="{02979436-7C24-4BF0-9E16-2E763132E17D}">
  <ds:schemaRefs/>
</ds:datastoreItem>
</file>

<file path=customXml/itemProps15.xml><?xml version="1.0" encoding="utf-8"?>
<ds:datastoreItem xmlns:ds="http://schemas.openxmlformats.org/officeDocument/2006/customXml" ds:itemID="{651A952D-7FF1-4BA1-9D9B-0CCAA0ED8A55}">
  <ds:schemaRefs/>
</ds:datastoreItem>
</file>

<file path=customXml/itemProps16.xml><?xml version="1.0" encoding="utf-8"?>
<ds:datastoreItem xmlns:ds="http://schemas.openxmlformats.org/officeDocument/2006/customXml" ds:itemID="{A4B4A4E2-96C8-4023-8461-7203899AD13E}">
  <ds:schemaRefs/>
</ds:datastoreItem>
</file>

<file path=customXml/itemProps17.xml><?xml version="1.0" encoding="utf-8"?>
<ds:datastoreItem xmlns:ds="http://schemas.openxmlformats.org/officeDocument/2006/customXml" ds:itemID="{43BF9B5C-D3E2-4FA4-884F-227B21C2B4F2}">
  <ds:schemaRefs/>
</ds:datastoreItem>
</file>

<file path=customXml/itemProps18.xml><?xml version="1.0" encoding="utf-8"?>
<ds:datastoreItem xmlns:ds="http://schemas.openxmlformats.org/officeDocument/2006/customXml" ds:itemID="{8C933A61-DA50-49B5-B025-DD0653F9DB40}">
  <ds:schemaRefs/>
</ds:datastoreItem>
</file>

<file path=customXml/itemProps19.xml><?xml version="1.0" encoding="utf-8"?>
<ds:datastoreItem xmlns:ds="http://schemas.openxmlformats.org/officeDocument/2006/customXml" ds:itemID="{50F02DD4-C1A2-4639-B5B2-A04296D1E25F}">
  <ds:schemaRefs/>
</ds:datastoreItem>
</file>

<file path=customXml/itemProps20.xml><?xml version="1.0" encoding="utf-8"?>
<ds:datastoreItem xmlns:ds="http://schemas.openxmlformats.org/officeDocument/2006/customXml" ds:itemID="{DF96F675-AF9A-466D-B72D-6049BC38081E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0636DDDA-A26E-46A8-92BE-A5323D41719C}">
  <ds:schemaRefs/>
</ds:datastoreItem>
</file>

<file path=customXml/itemProps22.xml><?xml version="1.0" encoding="utf-8"?>
<ds:datastoreItem xmlns:ds="http://schemas.openxmlformats.org/officeDocument/2006/customXml" ds:itemID="{2D151291-5A3D-45CB-8761-030FC226D6A2}">
  <ds:schemaRefs/>
</ds:datastoreItem>
</file>

<file path=customXml/itemProps23.xml><?xml version="1.0" encoding="utf-8"?>
<ds:datastoreItem xmlns:ds="http://schemas.openxmlformats.org/officeDocument/2006/customXml" ds:itemID="{EDE608A9-4AB7-4086-B7A7-B66F0543382F}">
  <ds:schemaRefs/>
</ds:datastoreItem>
</file>

<file path=customXml/itemProps24.xml><?xml version="1.0" encoding="utf-8"?>
<ds:datastoreItem xmlns:ds="http://schemas.openxmlformats.org/officeDocument/2006/customXml" ds:itemID="{7A65C703-A5DC-4D06-9947-E958118E63C1}">
  <ds:schemaRefs/>
</ds:datastoreItem>
</file>

<file path=customXml/itemProps25.xml><?xml version="1.0" encoding="utf-8"?>
<ds:datastoreItem xmlns:ds="http://schemas.openxmlformats.org/officeDocument/2006/customXml" ds:itemID="{42EA5DCA-685C-4544-B1BA-4D8E84429704}">
  <ds:schemaRefs/>
</ds:datastoreItem>
</file>

<file path=customXml/itemProps26.xml><?xml version="1.0" encoding="utf-8"?>
<ds:datastoreItem xmlns:ds="http://schemas.openxmlformats.org/officeDocument/2006/customXml" ds:itemID="{5F603B83-81EC-44D9-91D3-EADF85F3B7A8}">
  <ds:schemaRefs/>
</ds:datastoreItem>
</file>

<file path=customXml/itemProps27.xml><?xml version="1.0" encoding="utf-8"?>
<ds:datastoreItem xmlns:ds="http://schemas.openxmlformats.org/officeDocument/2006/customXml" ds:itemID="{CC655A76-24DE-469C-94E8-E047323BA34E}">
  <ds:schemaRefs/>
</ds:datastoreItem>
</file>

<file path=customXml/itemProps28.xml><?xml version="1.0" encoding="utf-8"?>
<ds:datastoreItem xmlns:ds="http://schemas.openxmlformats.org/officeDocument/2006/customXml" ds:itemID="{ECADFED7-7E56-4AA9-BDA5-ED7030D88D45}">
  <ds:schemaRefs/>
</ds:datastoreItem>
</file>

<file path=customXml/itemProps29.xml><?xml version="1.0" encoding="utf-8"?>
<ds:datastoreItem xmlns:ds="http://schemas.openxmlformats.org/officeDocument/2006/customXml" ds:itemID="{2E09EE5D-9A0B-477A-B60B-115FA58576EE}">
  <ds:schemaRefs/>
</ds:datastoreItem>
</file>

<file path=customXml/itemProps30.xml><?xml version="1.0" encoding="utf-8"?>
<ds:datastoreItem xmlns:ds="http://schemas.openxmlformats.org/officeDocument/2006/customXml" ds:itemID="{53F7E318-BA44-4573-A625-35B16BB47171}">
  <ds:schemaRefs/>
</ds:datastoreItem>
</file>

<file path=customXml/itemProps31.xml><?xml version="1.0" encoding="utf-8"?>
<ds:datastoreItem xmlns:ds="http://schemas.openxmlformats.org/officeDocument/2006/customXml" ds:itemID="{622067DD-BA1C-4D40-9238-8A71A189C7C7}">
  <ds:schemaRefs/>
</ds:datastoreItem>
</file>

<file path=customXml/itemProps32.xml><?xml version="1.0" encoding="utf-8"?>
<ds:datastoreItem xmlns:ds="http://schemas.openxmlformats.org/officeDocument/2006/customXml" ds:itemID="{B462386D-B9F7-41EB-A7C4-A08CD7AA2BF6}">
  <ds:schemaRefs/>
</ds:datastoreItem>
</file>

<file path=customXml/itemProps33.xml><?xml version="1.0" encoding="utf-8"?>
<ds:datastoreItem xmlns:ds="http://schemas.openxmlformats.org/officeDocument/2006/customXml" ds:itemID="{A2E45419-7972-40ED-84A6-945524F58E48}">
  <ds:schemaRefs/>
</ds:datastoreItem>
</file>

<file path=customXml/itemProps34.xml><?xml version="1.0" encoding="utf-8"?>
<ds:datastoreItem xmlns:ds="http://schemas.openxmlformats.org/officeDocument/2006/customXml" ds:itemID="{563E05A5-973E-42E0-BC12-19F307EEC96D}">
  <ds:schemaRefs/>
</ds:datastoreItem>
</file>

<file path=customXml/itemProps35.xml><?xml version="1.0" encoding="utf-8"?>
<ds:datastoreItem xmlns:ds="http://schemas.openxmlformats.org/officeDocument/2006/customXml" ds:itemID="{9C499BE6-72A8-4135-B170-9696BC29928A}">
  <ds:schemaRefs/>
</ds:datastoreItem>
</file>

<file path=customXml/itemProps36.xml><?xml version="1.0" encoding="utf-8"?>
<ds:datastoreItem xmlns:ds="http://schemas.openxmlformats.org/officeDocument/2006/customXml" ds:itemID="{11CFBC20-C7DC-4D15-910E-5C1809A0C4D8}">
  <ds:schemaRefs/>
</ds:datastoreItem>
</file>

<file path=customXml/itemProps37.xml><?xml version="1.0" encoding="utf-8"?>
<ds:datastoreItem xmlns:ds="http://schemas.openxmlformats.org/officeDocument/2006/customXml" ds:itemID="{4CE48992-99EA-47CB-B8BE-EC9F62CDAD75}">
  <ds:schemaRefs/>
</ds:datastoreItem>
</file>

<file path=customXml/itemProps38.xml><?xml version="1.0" encoding="utf-8"?>
<ds:datastoreItem xmlns:ds="http://schemas.openxmlformats.org/officeDocument/2006/customXml" ds:itemID="{C3337F82-AD06-41DA-BC6A-673139EC05EC}">
  <ds:schemaRefs/>
</ds:datastoreItem>
</file>

<file path=customXml/itemProps39.xml><?xml version="1.0" encoding="utf-8"?>
<ds:datastoreItem xmlns:ds="http://schemas.openxmlformats.org/officeDocument/2006/customXml" ds:itemID="{A14CADF3-8FB0-44BD-9B3C-A58C45B343B5}">
  <ds:schemaRefs/>
</ds:datastoreItem>
</file>

<file path=customXml/itemProps40.xml><?xml version="1.0" encoding="utf-8"?>
<ds:datastoreItem xmlns:ds="http://schemas.openxmlformats.org/officeDocument/2006/customXml" ds:itemID="{74664077-109D-4B95-B63F-44546C00A8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 10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زياد على محمود محمود</dc:creator>
  <cp:lastModifiedBy>زياد على محمود محمود</cp:lastModifiedBy>
  <dcterms:created xsi:type="dcterms:W3CDTF">2025-11-08T14:42:38Z</dcterms:created>
  <dcterms:modified xsi:type="dcterms:W3CDTF">2025-11-19T12:23:23Z</dcterms:modified>
</cp:coreProperties>
</file>